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Voltage_Cases" sheetId="6" state="visible" r:id="rId8"/>
    <sheet name="Accidents" sheetId="7" state="visible" r:id="rId9"/>
    <sheet name="Dashboard_Transfer" sheetId="8" state="visible" r:id="rId10"/>
    <sheet name="Interyear_Continuity" sheetId="9" state="visible" r:id="rId11"/>
    <sheet name="PriorFY_Row_Check" sheetId="10" state="visible" r:id="rId12"/>
    <sheet name="QC_Gat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<sst xmlns="http://schemas.openxmlformats.org/spreadsheetml/2006/main" count="404" uniqueCount="275">
  <si>
    <t xml:space="preserve">Item</t>
  </si>
  <si>
    <t xml:space="preserve">Description</t>
  </si>
  <si>
    <t xml:space="preserve">Purpose</t>
  </si>
  <si>
    <t xml:space="preserve">Full calculation trail for TPWODL (Odisha), FY 2022-23 (Pass 1, permitted repository only). Applicable regulation re-established: OERC (Licensees' Standards of Performance) Regulations, 2004 (S1) as amended by the 1st Amendment Regulations, 2010 (S2); no repeal, replacement or later amendment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</si>
  <si>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</si>
  <si>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</si>
  <si>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</si>
  <si>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2022-23 (as reported and furnished through an affidavit): Achievement on Overall Standards of Performance' (S3), single page, TPWODL column 'For the year 2022-23'. All values are annual. Values transcribed in OSoP_Reported; the TPWODL column alignment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</si>
  <si>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</si>
  <si>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equal 100.00% the combined share is 100.0% without case counts (fuse-off, line breakdown). Where they differ (distribution transformer: 99.08 / 97.33) the combined share is not derived, because case counts are not reported; compliance is nevertheless certain because the lower area share is at or above the threshold (Restoration_Shares).</t>
  </si>
  <si>
    <t xml:space="preserve">Ratio standards</t>
  </si>
  <si>
    <t xml:space="preserve">Faulty-bill share (not more than 0.1%) and defective-meter share (not more than 5%) are single annual reported values compared directly with the S1 threshold. Values read as per cent per the S3 labels; the result is unchanged if they are read as fractions (Threshold_Tests). Scheduled-outage and street-light rows are not compared (see Dashboard comparison decisions).</t>
  </si>
  <si>
    <t xml:space="preserve">Reliability indices</t>
  </si>
  <si>
    <t xml:space="preserve">S1 Sch. II 1.5 formulas (p.15): SAIFI = sum(Ai x Ni) / Nt; SAIDI = sum(Bi x Ni) / Nt; MAIFI = sum(Ci x Ni) / Nt, Ni = connected load of feeder i affected, Nt = total 11 kV connected load. S3 reports annual values 'faced by 1 KW connected load' with units (Nos.) and (Minutes). No components are reported, so no reconstruction is possible or needed; values are used as reported (Reliability).</t>
  </si>
  <si>
    <t xml:space="preserve">Voltage cases</t>
  </si>
  <si>
    <t xml:space="preserve">S3 reports HT 1.5 under 'No. of cases'; EHT and LT '--'. The value is fractional, and no unit or reporting instruction was found in S1, S2 or S3, so the unit is recorded as not established and no comparison is made (Voltage_Cases).</t>
  </si>
  <si>
    <t xml:space="preserve">Accidents</t>
  </si>
  <si>
    <t xml:space="preserve">S3 'No. of accident cases' for FY 2021-22 and FY 2022-23. FY 2022-23 counts used; FY 2021-22 counts reconcile with the FY 2021-22 workbook (Interyear_Continuity).</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</si>
  <si>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</si>
  <si>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</si>
  <si>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</si>
  <si>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(cross-reference flag); (ii) 'towns and cities' treated as 'urban areas'; (iii) S3 faulty-bill parameter treated as the S1 billing-mistake parameter; (iv) faulty-bill and defective-meter values read as per cent.</t>
  </si>
  <si>
    <t xml:space="preserve">Template</t>
  </si>
  <si>
    <t xml:space="preserve">TPWODL FY 2021-22 workbooks used as the primary formatting template; all FY 2022-23 values, units, thresholds and comparison decisions re-established from the current sources.</t>
  </si>
  <si>
    <t xml:space="preserve">Dashboard transfer</t>
  </si>
  <si>
    <t xml:space="preserve">Dashboard_Transfer links each main-sheet value to its calculation cell and builds the annualised text with formulas; QC_Gate records the final checks.</t>
  </si>
  <si>
    <t xml:space="preserve">Ref</t>
  </si>
  <si>
    <t xml:space="preserve">Parameter (as published)</t>
  </si>
  <si>
    <t xml:space="preserve">Area</t>
  </si>
  <si>
    <t xml:space="preserve">Minimum target fixed by the Commission (as printed)</t>
  </si>
  <si>
    <t xml:space="preserve">Target (numeric)</t>
  </si>
  <si>
    <t xml:space="preserve">TPWODL FY 2022-23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</si>
  <si>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</si>
  <si>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</si>
  <si>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</si>
  <si>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</si>
  <si>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</si>
  <si>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</si>
  <si>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</si>
  <si>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</si>
  <si>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</si>
  <si>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2022-23,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</si>
  <si>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</si>
  <si>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</si>
  <si>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</si>
  <si>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</si>
  <si>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</si>
  <si>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</si>
  <si>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</si>
  <si>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</si>
  <si>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</si>
  <si>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</si>
  <si>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99.08</t>
  </si>
  <si>
    <t xml:space="preserve">R6</t>
  </si>
  <si>
    <t xml:space="preserve">Replacement of Distribution Transformer within 48 hrs. of receiving the complaint in rural areas</t>
  </si>
  <si>
    <t xml:space="preserve">97.33</t>
  </si>
  <si>
    <t xml:space="preserve">R7</t>
  </si>
  <si>
    <t xml:space="preserve">Completing the work within 12 hrs. of the scheduled outage before 5 PM/6 PM</t>
  </si>
  <si>
    <t xml:space="preserve">All</t>
  </si>
  <si>
    <t xml:space="preserve">--</t>
  </si>
  <si>
    <t xml:space="preserve">R8</t>
  </si>
  <si>
    <t xml:space="preserve">No. of cases in which voltage at the point of commencement of supply exceeded 3% of the voltage limits: EHT</t>
  </si>
  <si>
    <t xml:space="preserve">count</t>
  </si>
  <si>
    <t xml:space="preserve">R9</t>
  </si>
  <si>
    <t xml:space="preserve">Same: HT (S3 wording: 'No. of cases in which voltage at the point of commencement of supply exceeded 3% of the voltage limits')</t>
  </si>
  <si>
    <t xml:space="preserve">EHT</t>
  </si>
  <si>
    <t xml:space="preserve">(blank)</t>
  </si>
  <si>
    <t xml:space="preserve">1.5</t>
  </si>
  <si>
    <t xml:space="preserve">count (as labelled; value fractional)</t>
  </si>
  <si>
    <t xml:space="preserve">R10</t>
  </si>
  <si>
    <t xml:space="preserve">Same: HT</t>
  </si>
  <si>
    <t xml:space="preserve">HT</t>
  </si>
  <si>
    <t xml:space="preserve">R11</t>
  </si>
  <si>
    <t xml:space="preserve">Same: LT</t>
  </si>
  <si>
    <t xml:space="preserve">LT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</si>
  <si>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</si>
  <si>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</si>
  <si>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</si>
  <si>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</si>
  <si>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</si>
  <si>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0.0004</t>
  </si>
  <si>
    <t xml:space="preserve">R14</t>
  </si>
  <si>
    <t xml:space="preserve">No. of faulty/defective meters as a percentage of total no. of existing meters</t>
  </si>
  <si>
    <t xml:space="preserve">5</t>
  </si>
  <si>
    <t xml:space="preserve">0.0013</t>
  </si>
  <si>
    <t xml:space="preserve">R15</t>
  </si>
  <si>
    <t xml:space="preserve">Total no. of interruption each lasting more than 5 minutes faced by 1 KW connected load (SAIFI)(Nos.)</t>
  </si>
  <si>
    <t xml:space="preserve">468</t>
  </si>
  <si>
    <t xml:space="preserve">Nos. per 1 kW</t>
  </si>
  <si>
    <t xml:space="preserve">R16</t>
  </si>
  <si>
    <t xml:space="preserve">Total no. of interruption each lasting less than 5 minutes faced by 1 KW connected load (MAIFI)(Nos.)</t>
  </si>
  <si>
    <t xml:space="preserve">40</t>
  </si>
  <si>
    <t xml:space="preserve">R17</t>
  </si>
  <si>
    <t xml:space="preserve">Total duration of interruption in minutes each 1 KW connected load (SAIDI)(Minutes)</t>
  </si>
  <si>
    <t xml:space="preserve">19770</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</si>
  <si>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</si>
  <si>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</si>
  <si>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</si>
  <si>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</si>
  <si>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</si>
  <si>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</si>
  <si>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</si>
  <si>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</si>
  <si>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</si>
  <si>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</si>
  <si>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</si>
  <si>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</si>
  <si>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</si>
  <si>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</si>
  <si>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</si>
  <si>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</si>
  <si>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</si>
  <si>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</si>
  <si>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</si>
  <si>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t>
  </si>
  <si>
    <t xml:space="preserve">Distribution transformer failure restoration</t>
  </si>
  <si>
    <t xml:space="preserve">S1 Sch. II 1.3 (p.14); time limits S1 Sch. I 1.4 (p.7); values OSoP_Reported R5-R6. Area shares differ (99.08 / 97.33); combined share not derivable without case counts, aggregate test passed because the lower area share exceeds the threshold</t>
  </si>
  <si>
    <t xml:space="preserve">Reported value (%)</t>
  </si>
  <si>
    <t xml:space="preserve">Direction</t>
  </si>
  <si>
    <t xml:space="preserve">Test result (original basis)</t>
  </si>
  <si>
    <t xml:space="preserve">Margin to threshold (pp)</t>
  </si>
  <si>
    <t xml:space="preserve">Scheduled outage share</t>
  </si>
  <si>
    <t xml:space="preserve">At least</t>
  </si>
  <si>
    <t xml:space="preserve">S1 Sch. II 1.4 (p.14). Comparison not possible: standard also requires advance notice and a daily duration cap; reported item defined only as completion within 12 hours before 5 PM/6 PM</t>
  </si>
  <si>
    <t xml:space="preserve">Street-light fault rectification share</t>
  </si>
  <si>
    <t xml:space="preserve">S1 Sch. II 1.8 (p.16). No value reported for FY 2022-23</t>
  </si>
  <si>
    <t xml:space="preserve">Faulty-bill share</t>
  </si>
  <si>
    <t xml:space="preserve">Not more than</t>
  </si>
  <si>
    <t xml:space="preserve">S1 Sch. II 1.9 (p.16); reported 0.0004 read as per cent; result unchanged if read as a fraction (0.04%)</t>
  </si>
  <si>
    <t xml:space="preserve">Defective-meter share</t>
  </si>
  <si>
    <t xml:space="preserve">S1 Sch. II 1.10 (p.16); reported 0.0013 read as per cent; result unchanged if read as a fraction (0.13%)</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</si>
  <si>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</si>
  <si>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</si>
  <si>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</si>
  <si>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</si>
  <si>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</si>
  <si>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</si>
  <si>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</si>
  <si>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</si>
  <si>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</si>
  <si>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</si>
  <si>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</si>
  <si>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</si>
  <si>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</si>
  <si>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</si>
  <si>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</si>
  <si>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</si>
  <si>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</si>
  <si>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</si>
  <si>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</si>
  <si>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</si>
  <si>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</si>
  <si>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</si>
  <si>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</si>
  <si>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</si>
  <si>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</si>
  <si>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</si>
  <si>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</si>
  <si>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</si>
  <si>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</si>
  <si>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</si>
  <si>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</si>
  <si>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Voltage level</t>
  </si>
  <si>
    <t xml:space="preserve">As printed</t>
  </si>
  <si>
    <t xml:space="preserve">Numeric</t>
  </si>
  <si>
    <t xml:space="preserve">No value reported</t>
  </si>
  <si>
    <t xml:space="preserve">Reported; unit not established (fractional value under a 'No. of cases' label)</t>
  </si>
  <si>
    <t xml:space="preserve">Category</t>
  </si>
  <si>
    <t xml:space="preserve">FY 2021-22 (as printed)</t>
  </si>
  <si>
    <t xml:space="preserve">FY 2021-22</t>
  </si>
  <si>
    <t xml:space="preserve">FY 2022-23 (as printed)</t>
  </si>
  <si>
    <t xml:space="preserve">FY 2022-23</t>
  </si>
  <si>
    <t xml:space="preserve">Change (FY 2022-23 - FY 2021-22)</t>
  </si>
  <si>
    <t xml:space="preserve">Fatal Human</t>
  </si>
  <si>
    <t xml:space="preserve">02</t>
  </si>
  <si>
    <t xml:space="preserve">S3, OERC Achievement on Overall Standards of Performance FY 2022-23, p.1, accident table, TPWODL columns 21-22 / 22-23</t>
  </si>
  <si>
    <t xml:space="preserve">Non-fatal Human</t>
  </si>
  <si>
    <t xml:space="preserve">16</t>
  </si>
  <si>
    <t xml:space="preserve">24</t>
  </si>
  <si>
    <t xml:space="preserve">Fatal Animal</t>
  </si>
  <si>
    <t xml:space="preserve">53</t>
  </si>
  <si>
    <t xml:space="preserve">Non-fatal Animal</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</si>
  <si>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</si>
  <si>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</si>
  <si>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</si>
  <si>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</si>
  <si>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</si>
  <si>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</si>
  <si>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</si>
  <si>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</si>
  <si>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</si>
  <si>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</si>
  <si>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Distribution transformer failure restoration — share resolved within standard</t>
  </si>
  <si>
    <t xml:space="preserve">n/a</t>
  </si>
  <si>
    <t xml:space="preserve">Not annualised: case counts required to combine the urban and rural shares are not reported.</t>
  </si>
  <si>
    <t xml:space="preserve">Scheduled outage restoration — share resolved within standard</t>
  </si>
  <si>
    <t xml:space="preserve">Street-light fault rectification — share resolved within standard</t>
  </si>
  <si>
    <t xml:space="preserve">Not annualised: no reported value.</t>
  </si>
  <si>
    <t xml:space="preserve">Billing mistakes — faulty bills as share of bills issued</t>
  </si>
  <si>
    <t xml:space="preserve">0.0000%</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</si>
  <si>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</si>
  <si>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</si>
  <si>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</si>
  <si>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</si>
  <si>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</si>
  <si>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</si>
  <si>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</si>
  <si>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0.0</t>
  </si>
  <si>
    <t xml:space="preserve">Fatal electrical accidents — humans</t>
  </si>
  <si>
    <t xml:space="preserve">0</t>
  </si>
  <si>
    <t xml:space="preserve">Non-fatal electrical accidents — humans</t>
  </si>
  <si>
    <t xml:space="preserve">Fatal electrical accidents — animals</t>
  </si>
  <si>
    <t xml:space="preserve">Non-fatal electrical accidents — animals</t>
  </si>
  <si>
    <t xml:space="preserve">FY 2021-22 value in the FY 2021-22 workbook</t>
  </si>
  <si>
    <t xml:space="preserve">FY 2021-22 value shown in the FY 2022-23 statement</t>
  </si>
  <si>
    <t xml:space="preserve">Difference</t>
  </si>
  <si>
    <t xml:space="preserve">Status</t>
  </si>
  <si>
    <t xml:space="preserve">FY 2021-22 source</t>
  </si>
  <si>
    <t xml:space="preserve">FY 2022-23 source</t>
  </si>
  <si>
    <t xml:space="preserve">Fatal human accidents</t>
  </si>
  <si>
    <t xml:space="preserve">TPWODL FY 2021-22 Calculations &gt; Accidents (S3 FY 2021-22 statement, p.1)</t>
  </si>
  <si>
    <t xml:space="preserve">Non-fatal human accidents</t>
  </si>
  <si>
    <t xml:space="preserve">Fatal animal accidents</t>
  </si>
  <si>
    <t xml:space="preserve">Non-fatal animal accidents</t>
  </si>
  <si>
    <t xml:space="preserve">Check</t>
  </si>
  <si>
    <t xml:space="preserve">Result</t>
  </si>
  <si>
    <t xml:space="preserve">Detail</t>
  </si>
  <si>
    <t xml:space="preserve">Row set vs FY 2021-22 main sheet</t>
  </si>
  <si>
    <t xml:space="preserve">Pass</t>
  </si>
  <si>
    <t xml:space="preserve">16 rows (FY 2021-22: 16); 16 of 16 indicator names identical in the same order. No row added or removed because the Commission's statement has the same parameters.</t>
  </si>
  <si>
    <t xml:space="preserve">Row-by-row field comparison</t>
  </si>
  <si>
    <t xml:space="preserve">Pass (genuine differences)</t>
  </si>
  <si>
    <t xml:space="preserve">Fields changed per row (excluding financial year): Normal fuse-off call rectification: no change other than financial year; Line breakdown restoration: no change other than financial year; Distribution transformer failure restoration: Reported data, Annualised / standardised reported data, Documentation of standardisation / transformation; Scheduled outage restoration: Reported data, Annualised / standardised reported data, If comparison is not possible, why?, Interpretation, Documentation of standardisation / transformation; Street-light fault rectification: Reported data, Annualised / standardised reported data, If comparison is not possible, why?, Interpretation, Documentation of standardisation / transformation; Billing mistakes: Reported data, Annualised / standardised reported data, Interpretation; Defective meters: Reported data, Annualised / standardised reported data, Interpretation; System Average Interruption Duration Index (SAIDI): Reported data, Annualised / standardised reported data, If comparison is not possible, why?; System Average Interruption Frequency Index (SAIFI): Reported data, Annualised / standardised reported data, If comparison is not possible, why?; Momentary Average Interruption Frequency Index (MAIFI): Reported data, Annualised / standardised reported data, If comparison is not possible, why?; Supply frequency outside ±3% of 50 Hz: Reported data, If comparison is not possible, why?; Supply voltage at point of supply outside limits: Reported data, Annualised / standardised reported data, If comparison is not possible, why?, Interpretation, Documentation of standardisation / transformation; Fatal electrical accidents: no change other than financial year; Non-fatal electrical accidents: Reported data, Annualised / standardised reported data; Fatal electrical accidents: Reported data, Annualised / standardised reported data; Non-fatal electrical accidents: no change other than financial year</t>
  </si>
  <si>
    <t xml:space="preserve">Rows unchanged apart from financial year</t>
  </si>
  <si>
    <t xml:space="preserve">4 rows: Normal fuse-off call rectification, Line breakdown restoration, Fatal electrical accidents, Non-fatal electrical accidents</t>
  </si>
  <si>
    <t xml:space="preserve">Rows changed in data fields only</t>
  </si>
  <si>
    <t xml:space="preserve">Non-fatal electrical accidents, Fatal electrical accidents</t>
  </si>
  <si>
    <t xml:space="preserve">Comparison / compliance logic</t>
  </si>
  <si>
    <t xml:space="preserve">Scheduled outage: now has a reported value but is marked not comparable (standard also requires advance notice and a duration cap). Street light: now no value. Distribution transformer: area shares differ, compliance shown by the lower-share test. Faulty bills and defective meters: now clearly below the limits. 4 rows Yes/Yes; 12 rows No/N/A.</t>
  </si>
  <si>
    <t xml:space="preserve">Supporting-sheet and calculations structure</t>
  </si>
  <si>
    <t xml:space="preserve">Same sheet set as FY 2021-22, plus Voltage_Cases and Interyear_Continuity; Reference_Consistency retained as this sheet's counterpart (PriorFY_Row_Check).</t>
  </si>
  <si>
    <t xml:space="preserve">Substantive evidence re-established</t>
  </si>
  <si>
    <t xml:space="preserve">All values, thresholds, page references, flags and review items re-extracted from the FY 2022-23 statement and S1/S2; none copied from the previous year.</t>
  </si>
  <si>
    <t xml:space="preserve">Evidence</t>
  </si>
  <si>
    <t xml:space="preserve">Full permitted repository searched</t>
  </si>
  <si>
    <t xml:space="preserve">Repository: S1, S2, S3 (FY 2022-23 statement), the FY 2021-22 statement, the context document, the previous TPWODL workbooks and the UGVCL reference workbooks. The connected Google Drive was searched again (TPWODL, Standards of Performance, OERC, Odisha); no relevant documents found.</t>
  </si>
  <si>
    <t xml:space="preserve">Regulatory and reported-performance sources reviewed</t>
  </si>
  <si>
    <t xml:space="preserve">Regulatory: S1 and S2 re-read for applicability to FY 2022-23. Reported: S3 (single page, text and rendered image).</t>
  </si>
  <si>
    <t xml:space="preserve">Applicable regulation re-established</t>
  </si>
  <si>
    <t xml:space="preserve">S1 as amended by S2 in force throughout FY 2022-23; no repeal or replacement found (recorded in Source_Gaps).</t>
  </si>
  <si>
    <t xml:space="preserve">Amendments checked</t>
  </si>
  <si>
    <t xml:space="preserve">Pass (gap recorded)</t>
  </si>
  <si>
    <t xml:space="preserve">S2 does not alter Schedule II standards or formulas. No later amendment found; recorded in Source_Gaps.</t>
  </si>
  <si>
    <t xml:space="preserve">Definitions, units, formulas, reporting basis re-verified</t>
  </si>
  <si>
    <t xml:space="preserve">Thresholds from S1 Sch. II; reliability formulas S1 p.15 (connected-load weighting); units from S3 labels and S1 formulas; reporting basis annual (S3). Voltage-case unit not established (gap recorded).</t>
  </si>
  <si>
    <t xml:space="preserve">Unit check: every quantitative indicator</t>
  </si>
  <si>
    <t xml:space="preserve">Pass (one gap recorded)</t>
  </si>
  <si>
    <t xml:space="preserve">Shares %; SAIDI minutes per kW; SAIFI interruptions per kW; MAIFI momentary interruptions per kW; accidents count. Voltage-case HT value: unit not established after checking S1, S2 and S3.</t>
  </si>
  <si>
    <t xml:space="preserve">Annualisation-method check</t>
  </si>
  <si>
    <t xml:space="preserve">All values annual; no summing, averaging, multiplication or extrapolation. Combined urban/rural shares derived only where both area shares are equal.</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</si>
  <si>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</si>
  <si>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</si>
  <si>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</si>
  <si>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12 rows No / N/A; 4 rows Yes / Yes (fuse-off, distribution transformer, faulty bills, defective meters), each assessed on the original S1 basis.</t>
  </si>
  <si>
    <t xml:space="preserve">Standards not transformed</t>
  </si>
  <si>
    <t xml:space="preserve">Standards stated as aggregate shares or limits exactly as in S1; unchanged from FY 2021-22 because S1 is unchanged.</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</si>
  <si>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</si>
  <si>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</si>
  <si>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</si>
  <si>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matches the main sheet for all 16 rows (automated check after recalculation).</t>
  </si>
  <si>
    <t xml:space="preserve">Row-by-row consistency with FY 2021-22</t>
  </si>
  <si>
    <t xml:space="preserve">See PriorFY_Row_Check.</t>
  </si>
  <si>
    <t xml:space="preserve">Reconciliations and flags</t>
  </si>
  <si>
    <t xml:space="preserve">Pass (flags documented)</t>
  </si>
  <si>
    <t xml:space="preserve">Threshold check S1 = S3 targets: OK. Accident continuity with FY 2021-22 workbook: OK. Data flags recorded in Data_Quality_Flags.</t>
  </si>
</sst>
</file>

<file path=xl/styles.xml><?xml version="1.0" encoding="utf-8"?>
<styleSheet xmlns="http://schemas.openxmlformats.org/spreadsheetml/2006/main">
  <numFmts count="7">
    <numFmt numFmtId="164" formatCode="General"/>
    <numFmt numFmtId="165" formatCode="#,##0.00"/>
    <numFmt numFmtId="166" formatCode="#,##0.0000"/>
    <numFmt numFmtId="167" formatCode="0.00"/>
    <numFmt numFmtId="168" formatCode="0.0000"/>
    <numFmt numFmtId="169" formatCode="#,##0"/>
    <numFmt numFmtId="170"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color rgb="FF00800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0</v>
      </c>
      <c r="B1" s="1" t="s">
        <v>1</v>
      </c>
    </row>
    <row r="2" customFormat="false" ht="35.05" hidden="false" customHeight="false" outlineLevel="0" collapsed="false">
      <c r="A2" s="2" t="s">
        <v>2</v>
      </c>
      <c r="B2" s="2" t="s">
        <v>3</v>
      </c>
    </row>
    <row r="3" customFormat="false" ht="15" hidden="false" customHeight="false" outlineLevel="0" collapsed="false">
      <c r="A3" s="2" t="s">
        <v>4</v>
      </c>
      <c r="B3" s="2" t="s">
        <v>5</v>
      </c>
    </row>
    <row r="4" customFormat="false" ht="35.05" hidden="false" customHeight="false" outlineLevel="0" collapsed="false">
      <c r="A4" s="2" t="s">
        <v>6</v>
      </c>
      <c r="B4" s="2" t="s">
        <v>7</v>
      </c>
    </row>
    <row r="5" customFormat="false" ht="46.25" hidden="false" customHeight="false" outlineLevel="0" collapsed="false">
      <c r="A5" s="2" t="s">
        <v>8</v>
      </c>
      <c r="B5" s="2" t="s">
        <v>9</v>
      </c>
    </row>
    <row r="6" customFormat="false" ht="35.05" hidden="false" customHeight="false" outlineLevel="0" collapsed="false">
      <c r="A6" s="2" t="s">
        <v>10</v>
      </c>
      <c r="B6" s="2" t="s">
        <v>11</v>
      </c>
    </row>
    <row r="7" customFormat="false" ht="35.05" hidden="false" customHeight="false" outlineLevel="0" collapsed="false">
      <c r="A7" s="2" t="s">
        <v>12</v>
      </c>
      <c r="B7" s="2" t="s">
        <v>13</v>
      </c>
    </row>
    <row r="8" customFormat="false" ht="23.85" hidden="false" customHeight="false" outlineLevel="0" collapsed="false">
      <c r="A8" s="2" t="s">
        <v>14</v>
      </c>
      <c r="B8" s="2" t="s">
        <v>15</v>
      </c>
    </row>
    <row r="9" customFormat="false" ht="23.85" hidden="false" customHeight="false" outlineLevel="0" collapsed="false">
      <c r="A9" s="2" t="s">
        <v>16</v>
      </c>
      <c r="B9" s="2" t="s">
        <v>17</v>
      </c>
    </row>
    <row r="10" customFormat="false" ht="23.85" hidden="false" customHeight="false" outlineLevel="0" collapsed="false">
      <c r="A10" s="2" t="s">
        <v>18</v>
      </c>
      <c r="B10" s="2" t="s">
        <v>19</v>
      </c>
    </row>
    <row r="11" customFormat="false" ht="23.85" hidden="false" customHeight="false" outlineLevel="0" collapsed="false">
      <c r="A11" s="2" t="s">
        <v>20</v>
      </c>
      <c r="B11" s="2" t="s">
        <v>21</v>
      </c>
    </row>
    <row r="12" customFormat="false" ht="23.85" hidden="false" customHeight="false" outlineLevel="0" collapsed="false">
      <c r="A12" s="2" t="s">
        <v>22</v>
      </c>
      <c r="B12" s="2" t="s">
        <v>23</v>
      </c>
    </row>
    <row r="13" customFormat="false" ht="23.85" hidden="false" customHeight="false" outlineLevel="0" collapsed="false">
      <c r="A13" s="2" t="s">
        <v>24</v>
      </c>
      <c r="B13"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6"/>
    <col collapsed="false" customWidth="true" hidden="false" outlineLevel="0" max="2" min="2" style="3" width="60"/>
    <col collapsed="false" customWidth="true" hidden="false" outlineLevel="0" max="3" min="3" style="3" width="8"/>
    <col collapsed="false" customWidth="true" hidden="false" outlineLevel="0" max="4" min="4" style="3" width="16"/>
    <col collapsed="false" customWidth="true" hidden="false" outlineLevel="0" max="5" min="5" style="3" width="11"/>
    <col collapsed="false" customWidth="true" hidden="false" outlineLevel="0" max="6" min="6" style="3" width="16"/>
    <col collapsed="false" customWidth="true" hidden="false" outlineLevel="0" max="7" min="7" style="3" width="12"/>
    <col collapsed="false" customWidth="true" hidden="false" outlineLevel="0" max="8" min="8" style="3" width="14"/>
    <col collapsed="false" customWidth="true" hidden="false" outlineLevel="0" max="9" min="9" style="3" width="40"/>
  </cols>
  <sheetData>
    <row r="1" customFormat="false" ht="45.75" hidden="false" customHeight="true" outlineLevel="0" collapsed="false">
      <c r="A1" s="1" t="s">
        <v>26</v>
      </c>
      <c r="B1" s="1" t="s">
        <v>27</v>
      </c>
      <c r="C1" s="1" t="s">
        <v>28</v>
      </c>
      <c r="D1" s="1" t="s">
        <v>29</v>
      </c>
      <c r="E1" s="1" t="s">
        <v>30</v>
      </c>
      <c r="F1" s="1" t="s">
        <v>31</v>
      </c>
      <c r="G1" s="1" t="s">
        <v>32</v>
      </c>
      <c r="H1" s="1" t="s">
        <v>33</v>
      </c>
      <c r="I1" s="1" t="s">
        <v>34</v>
      </c>
    </row>
    <row r="2" customFormat="false" ht="23.25" hidden="false" customHeight="true" outlineLevel="0" collapsed="false">
      <c r="A2" s="2" t="s">
        <v>35</v>
      </c>
      <c r="B2" s="4" t="s">
        <v>36</v>
      </c>
      <c r="C2" s="4" t="s">
        <v>37</v>
      </c>
      <c r="D2" s="4" t="s">
        <v>38</v>
      </c>
      <c r="E2" s="4" t="n">
        <v>90</v>
      </c>
      <c r="F2" s="4" t="s">
        <v>39</v>
      </c>
      <c r="G2" s="5" t="n">
        <v>100</v>
      </c>
      <c r="H2" s="4" t="s">
        <v>40</v>
      </c>
      <c r="I2" s="2" t="s">
        <v>41</v>
      </c>
    </row>
    <row r="3" customFormat="false" ht="23.25" hidden="false" customHeight="true" outlineLevel="0" collapsed="false">
      <c r="A3" s="2" t="s">
        <v>42</v>
      </c>
      <c r="B3" s="4" t="s">
        <v>43</v>
      </c>
      <c r="C3" s="4" t="s">
        <v>44</v>
      </c>
      <c r="D3" s="4" t="s">
        <v>38</v>
      </c>
      <c r="E3" s="4" t="n">
        <v>90</v>
      </c>
      <c r="F3" s="4" t="s">
        <v>39</v>
      </c>
      <c r="G3" s="5" t="n">
        <v>100</v>
      </c>
      <c r="H3" s="4" t="s">
        <v>40</v>
      </c>
      <c r="I3" s="2" t="s">
        <v>41</v>
      </c>
    </row>
    <row r="4" customFormat="false" ht="23.25" hidden="false" customHeight="true" outlineLevel="0" collapsed="false">
      <c r="A4" s="2" t="s">
        <v>45</v>
      </c>
      <c r="B4" s="4" t="s">
        <v>46</v>
      </c>
      <c r="C4" s="4" t="s">
        <v>37</v>
      </c>
      <c r="D4" s="4" t="s">
        <v>47</v>
      </c>
      <c r="E4" s="4" t="n">
        <v>95</v>
      </c>
      <c r="F4" s="4" t="s">
        <v>39</v>
      </c>
      <c r="G4" s="5" t="n">
        <v>100</v>
      </c>
      <c r="H4" s="4" t="s">
        <v>40</v>
      </c>
      <c r="I4" s="2" t="s">
        <v>41</v>
      </c>
    </row>
    <row r="5" customFormat="false" ht="23.25" hidden="false" customHeight="true" outlineLevel="0" collapsed="false">
      <c r="A5" s="2" t="s">
        <v>48</v>
      </c>
      <c r="B5" s="4" t="s">
        <v>49</v>
      </c>
      <c r="C5" s="4" t="s">
        <v>44</v>
      </c>
      <c r="D5" s="4" t="s">
        <v>47</v>
      </c>
      <c r="E5" s="4" t="n">
        <v>95</v>
      </c>
      <c r="F5" s="4" t="s">
        <v>39</v>
      </c>
      <c r="G5" s="5" t="n">
        <v>100</v>
      </c>
      <c r="H5" s="4" t="s">
        <v>40</v>
      </c>
      <c r="I5" s="2" t="s">
        <v>41</v>
      </c>
    </row>
    <row r="6" customFormat="false" ht="23.25" hidden="false" customHeight="true" outlineLevel="0" collapsed="false">
      <c r="A6" s="2" t="s">
        <v>50</v>
      </c>
      <c r="B6" s="4" t="s">
        <v>51</v>
      </c>
      <c r="C6" s="4" t="s">
        <v>37</v>
      </c>
      <c r="D6" s="4" t="s">
        <v>47</v>
      </c>
      <c r="E6" s="4" t="n">
        <v>95</v>
      </c>
      <c r="F6" s="4" t="s">
        <v>52</v>
      </c>
      <c r="G6" s="5" t="n">
        <v>99.08</v>
      </c>
      <c r="H6" s="4" t="s">
        <v>40</v>
      </c>
      <c r="I6" s="2" t="s">
        <v>41</v>
      </c>
    </row>
    <row r="7" customFormat="false" ht="23.25" hidden="false" customHeight="true" outlineLevel="0" collapsed="false">
      <c r="A7" s="2" t="s">
        <v>53</v>
      </c>
      <c r="B7" s="4" t="s">
        <v>54</v>
      </c>
      <c r="C7" s="4" t="s">
        <v>44</v>
      </c>
      <c r="D7" s="4" t="s">
        <v>47</v>
      </c>
      <c r="E7" s="4" t="n">
        <v>95</v>
      </c>
      <c r="F7" s="4" t="s">
        <v>55</v>
      </c>
      <c r="G7" s="5" t="n">
        <v>97.33</v>
      </c>
      <c r="H7" s="4" t="s">
        <v>40</v>
      </c>
      <c r="I7" s="2" t="s">
        <v>41</v>
      </c>
    </row>
    <row r="8" customFormat="false" ht="23.25" hidden="false" customHeight="true" outlineLevel="0" collapsed="false">
      <c r="A8" s="2" t="s">
        <v>56</v>
      </c>
      <c r="B8" s="4" t="s">
        <v>57</v>
      </c>
      <c r="C8" s="4" t="s">
        <v>58</v>
      </c>
      <c r="D8" s="4" t="s">
        <v>59</v>
      </c>
      <c r="E8" s="4"/>
      <c r="F8" s="4" t="s">
        <v>39</v>
      </c>
      <c r="G8" s="5" t="n">
        <v>100</v>
      </c>
      <c r="H8" s="4" t="s">
        <v>40</v>
      </c>
      <c r="I8" s="2" t="s">
        <v>41</v>
      </c>
    </row>
    <row r="9" customFormat="false" ht="23.25" hidden="false" customHeight="true" outlineLevel="0" collapsed="false">
      <c r="A9" s="2" t="s">
        <v>60</v>
      </c>
      <c r="B9" s="4" t="s">
        <v>61</v>
      </c>
      <c r="C9" s="4" t="s">
        <v>58</v>
      </c>
      <c r="D9" s="4" t="s">
        <v>59</v>
      </c>
      <c r="E9" s="4"/>
      <c r="F9" s="4" t="s">
        <v>59</v>
      </c>
      <c r="G9" s="5"/>
      <c r="H9" s="4" t="s">
        <v>62</v>
      </c>
      <c r="I9" s="2" t="s">
        <v>41</v>
      </c>
    </row>
    <row r="10" customFormat="false" ht="23.25" hidden="false" customHeight="true" outlineLevel="0" collapsed="false">
      <c r="A10" s="2" t="s">
        <v>63</v>
      </c>
      <c r="B10" s="4" t="s">
        <v>64</v>
      </c>
      <c r="C10" s="4" t="s">
        <v>65</v>
      </c>
      <c r="D10" s="4" t="s">
        <v>66</v>
      </c>
      <c r="E10" s="4"/>
      <c r="F10" s="4" t="s">
        <v>67</v>
      </c>
      <c r="G10" s="5" t="n">
        <v>1.5</v>
      </c>
      <c r="H10" s="4" t="s">
        <v>68</v>
      </c>
      <c r="I10" s="2" t="s">
        <v>41</v>
      </c>
    </row>
    <row r="11" customFormat="false" ht="23.25" hidden="false" customHeight="true" outlineLevel="0" collapsed="false">
      <c r="A11" s="2" t="s">
        <v>69</v>
      </c>
      <c r="B11" s="4" t="s">
        <v>70</v>
      </c>
      <c r="C11" s="4" t="s">
        <v>71</v>
      </c>
      <c r="D11" s="4" t="s">
        <v>66</v>
      </c>
      <c r="E11" s="4"/>
      <c r="F11" s="4" t="s">
        <v>59</v>
      </c>
      <c r="G11" s="5"/>
      <c r="H11" s="4" t="s">
        <v>62</v>
      </c>
      <c r="I11" s="2" t="s">
        <v>41</v>
      </c>
    </row>
    <row r="12" customFormat="false" ht="23.25" hidden="false" customHeight="true" outlineLevel="0" collapsed="false">
      <c r="A12" s="2" t="s">
        <v>72</v>
      </c>
      <c r="B12" s="4" t="s">
        <v>73</v>
      </c>
      <c r="C12" s="4" t="s">
        <v>74</v>
      </c>
      <c r="D12" s="4" t="s">
        <v>66</v>
      </c>
      <c r="E12" s="4"/>
      <c r="F12" s="4" t="s">
        <v>59</v>
      </c>
      <c r="G12" s="5"/>
      <c r="H12" s="4" t="s">
        <v>62</v>
      </c>
      <c r="I12" s="2" t="s">
        <v>41</v>
      </c>
    </row>
    <row r="13" customFormat="false" ht="23.25" hidden="false" customHeight="true" outlineLevel="0" collapsed="false">
      <c r="A13" s="2" t="s">
        <v>75</v>
      </c>
      <c r="B13" s="4" t="s">
        <v>76</v>
      </c>
      <c r="C13" s="4" t="s">
        <v>58</v>
      </c>
      <c r="D13" s="4" t="s">
        <v>38</v>
      </c>
      <c r="E13" s="4" t="n">
        <v>90</v>
      </c>
      <c r="F13" s="4" t="s">
        <v>59</v>
      </c>
      <c r="G13" s="5"/>
      <c r="H13" s="4" t="s">
        <v>40</v>
      </c>
      <c r="I13" s="2" t="s">
        <v>41</v>
      </c>
    </row>
    <row r="14" customFormat="false" ht="23.25" hidden="false" customHeight="true" outlineLevel="0" collapsed="false">
      <c r="A14" s="2" t="s">
        <v>77</v>
      </c>
      <c r="B14" s="4" t="s">
        <v>78</v>
      </c>
      <c r="C14" s="4" t="s">
        <v>58</v>
      </c>
      <c r="D14" s="4" t="s">
        <v>79</v>
      </c>
      <c r="E14" s="4" t="n">
        <v>0.1</v>
      </c>
      <c r="F14" s="4" t="s">
        <v>80</v>
      </c>
      <c r="G14" s="6" t="n">
        <v>0.0004</v>
      </c>
      <c r="H14" s="4" t="s">
        <v>40</v>
      </c>
      <c r="I14" s="2" t="s">
        <v>41</v>
      </c>
    </row>
    <row r="15" customFormat="false" ht="23.25" hidden="false" customHeight="true" outlineLevel="0" collapsed="false">
      <c r="A15" s="2" t="s">
        <v>81</v>
      </c>
      <c r="B15" s="4" t="s">
        <v>82</v>
      </c>
      <c r="C15" s="4" t="s">
        <v>58</v>
      </c>
      <c r="D15" s="4" t="s">
        <v>83</v>
      </c>
      <c r="E15" s="4" t="n">
        <v>5</v>
      </c>
      <c r="F15" s="4" t="s">
        <v>84</v>
      </c>
      <c r="G15" s="6" t="n">
        <v>0.0013</v>
      </c>
      <c r="H15" s="4" t="s">
        <v>40</v>
      </c>
      <c r="I15" s="2" t="s">
        <v>41</v>
      </c>
    </row>
    <row r="16" customFormat="false" ht="23.25" hidden="false" customHeight="true" outlineLevel="0" collapsed="false">
      <c r="A16" s="2" t="s">
        <v>85</v>
      </c>
      <c r="B16" s="4" t="s">
        <v>86</v>
      </c>
      <c r="C16" s="4" t="s">
        <v>58</v>
      </c>
      <c r="D16" s="4" t="s">
        <v>66</v>
      </c>
      <c r="E16" s="4"/>
      <c r="F16" s="4" t="s">
        <v>87</v>
      </c>
      <c r="G16" s="5" t="n">
        <v>468</v>
      </c>
      <c r="H16" s="4" t="s">
        <v>88</v>
      </c>
      <c r="I16" s="2" t="s">
        <v>41</v>
      </c>
    </row>
    <row r="17" customFormat="false" ht="23.25" hidden="false" customHeight="true" outlineLevel="0" collapsed="false">
      <c r="A17" s="2" t="s">
        <v>89</v>
      </c>
      <c r="B17" s="4" t="s">
        <v>90</v>
      </c>
      <c r="C17" s="4" t="s">
        <v>58</v>
      </c>
      <c r="D17" s="4" t="s">
        <v>66</v>
      </c>
      <c r="E17" s="4"/>
      <c r="F17" s="4" t="s">
        <v>91</v>
      </c>
      <c r="G17" s="5" t="n">
        <v>40</v>
      </c>
      <c r="H17" s="4" t="s">
        <v>88</v>
      </c>
      <c r="I17" s="2" t="s">
        <v>41</v>
      </c>
    </row>
    <row r="18" customFormat="false" ht="23.25" hidden="false" customHeight="true" outlineLevel="0" collapsed="false">
      <c r="A18" s="2" t="s">
        <v>92</v>
      </c>
      <c r="B18" s="4" t="s">
        <v>93</v>
      </c>
      <c r="C18" s="4" t="s">
        <v>58</v>
      </c>
      <c r="D18" s="4" t="s">
        <v>66</v>
      </c>
      <c r="E18" s="4"/>
      <c r="F18" s="4" t="s">
        <v>94</v>
      </c>
      <c r="G18" s="5" t="n">
        <v>19770</v>
      </c>
      <c r="H18" s="4" t="s">
        <v>95</v>
      </c>
      <c r="I18" s="2"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30"/>
    <col collapsed="false" customWidth="true" hidden="false" outlineLevel="0" max="5" min="2" style="3" width="10"/>
    <col collapsed="false" customWidth="true" hidden="false" outlineLevel="0" max="6" min="6" style="3" width="12"/>
    <col collapsed="false" customWidth="true" hidden="false" outlineLevel="0" max="8" min="7" style="3" width="11"/>
    <col collapsed="false" customWidth="true" hidden="false" outlineLevel="0" max="9" min="9" style="3" width="10"/>
    <col collapsed="false" customWidth="true" hidden="false" outlineLevel="0" max="11" min="10" style="3" width="12"/>
    <col collapsed="false" customWidth="true" hidden="false" outlineLevel="0" max="12" min="12" style="3" width="16"/>
    <col collapsed="false" customWidth="true" hidden="false" outlineLevel="0" max="13" min="13" style="3" width="50"/>
  </cols>
  <sheetData>
    <row r="1" customFormat="false" ht="45.75" hidden="false" customHeight="true" outlineLevel="0" collapsed="false">
      <c r="A1" s="1" t="s">
        <v>96</v>
      </c>
      <c r="B1" s="1" t="s">
        <v>97</v>
      </c>
      <c r="C1" s="1" t="s">
        <v>98</v>
      </c>
      <c r="D1" s="1" t="s">
        <v>99</v>
      </c>
      <c r="E1" s="1" t="s">
        <v>100</v>
      </c>
      <c r="F1" s="1" t="s">
        <v>101</v>
      </c>
      <c r="G1" s="1" t="s">
        <v>102</v>
      </c>
      <c r="H1" s="1" t="s">
        <v>103</v>
      </c>
      <c r="I1" s="1" t="s">
        <v>104</v>
      </c>
      <c r="J1" s="1" t="s">
        <v>105</v>
      </c>
      <c r="K1" s="1" t="s">
        <v>106</v>
      </c>
      <c r="L1" s="1" t="s">
        <v>107</v>
      </c>
      <c r="M1" s="1" t="s">
        <v>108</v>
      </c>
    </row>
    <row r="2" customFormat="false" ht="23.25" hidden="false" customHeight="true" outlineLevel="0" collapsed="false">
      <c r="A2" s="2" t="s">
        <v>109</v>
      </c>
      <c r="B2" s="7" t="n">
        <f aca="false">OSoP_Reported!G2</f>
        <v>100</v>
      </c>
      <c r="C2" s="7" t="n">
        <f aca="false">OSoP_Reported!G3</f>
        <v>100</v>
      </c>
      <c r="D2" s="8" t="n">
        <f aca="false">MIN(B2,C2)</f>
        <v>100</v>
      </c>
      <c r="E2" s="8" t="n">
        <f aca="false">MAX(B2,C2)</f>
        <v>100</v>
      </c>
      <c r="F2" s="8" t="n">
        <f aca="false">IF(D2=E2,D2,"Not derivable without case counts")</f>
        <v>100</v>
      </c>
      <c r="G2" s="9" t="n">
        <v>90</v>
      </c>
      <c r="H2" s="7" t="n">
        <f aca="false">OSoP_Reported!E2</f>
        <v>90</v>
      </c>
      <c r="I2" s="2" t="str">
        <f aca="false">IF(AND(G2=H2,OSoP_Reported!E2=OSoP_Reported!E3),"OK","FLAG")</f>
        <v>OK</v>
      </c>
      <c r="J2" s="4" t="s">
        <v>110</v>
      </c>
      <c r="K2" s="2" t="str">
        <f aca="false">IF(J2&lt;&gt;"Yes","N/A",IF(D2&gt;=G2,"Yes",IF(E2&lt;G2,"No","Not determinable")))</f>
        <v>Yes</v>
      </c>
      <c r="L2" s="2" t="str">
        <f aca="false">IF(AND(B2&gt;=H2,C2&gt;=H2),"Both areas at or above target","At least one area below target")</f>
        <v>Both areas at or above target</v>
      </c>
      <c r="M2" s="2" t="s">
        <v>111</v>
      </c>
    </row>
    <row r="3" customFormat="false" ht="34.5" hidden="false" customHeight="true" outlineLevel="0" collapsed="false">
      <c r="A3" s="2" t="s">
        <v>112</v>
      </c>
      <c r="B3" s="7" t="n">
        <f aca="false">OSoP_Reported!G4</f>
        <v>100</v>
      </c>
      <c r="C3" s="7" t="n">
        <f aca="false">OSoP_Reported!G5</f>
        <v>100</v>
      </c>
      <c r="D3" s="8" t="n">
        <f aca="false">MIN(B3,C3)</f>
        <v>100</v>
      </c>
      <c r="E3" s="8" t="n">
        <f aca="false">MAX(B3,C3)</f>
        <v>100</v>
      </c>
      <c r="F3" s="8" t="n">
        <f aca="false">IF(D3=E3,D3,"Not derivable without case counts")</f>
        <v>100</v>
      </c>
      <c r="G3" s="9" t="n">
        <v>95</v>
      </c>
      <c r="H3" s="7" t="n">
        <f aca="false">OSoP_Reported!E4</f>
        <v>95</v>
      </c>
      <c r="I3" s="2" t="str">
        <f aca="false">IF(AND(G3=H3,OSoP_Reported!E4=OSoP_Reported!E5),"OK","FLAG")</f>
        <v>OK</v>
      </c>
      <c r="J3" s="4" t="s">
        <v>113</v>
      </c>
      <c r="K3" s="2" t="str">
        <f aca="false">IF(J3&lt;&gt;"Yes","N/A",IF(D3&gt;=G3,"Yes",IF(E3&lt;G3,"No","Not determinable")))</f>
        <v>N/A</v>
      </c>
      <c r="L3" s="2" t="str">
        <f aca="false">IF(AND(B3&gt;=H3,C3&gt;=H3),"Both areas at or above target","At least one area below target")</f>
        <v>Both areas at or above target</v>
      </c>
      <c r="M3" s="2" t="s">
        <v>114</v>
      </c>
    </row>
    <row r="4" customFormat="false" ht="23.25" hidden="false" customHeight="true" outlineLevel="0" collapsed="false">
      <c r="A4" s="2" t="s">
        <v>115</v>
      </c>
      <c r="B4" s="7" t="n">
        <f aca="false">OSoP_Reported!G6</f>
        <v>99.08</v>
      </c>
      <c r="C4" s="7" t="n">
        <f aca="false">OSoP_Reported!G7</f>
        <v>97.33</v>
      </c>
      <c r="D4" s="8" t="n">
        <f aca="false">MIN(B4,C4)</f>
        <v>97.33</v>
      </c>
      <c r="E4" s="8" t="n">
        <f aca="false">MAX(B4,C4)</f>
        <v>99.08</v>
      </c>
      <c r="F4" s="8" t="str">
        <f aca="false">IF(D4=E4,D4,"Not derivable without case counts")</f>
        <v>Not derivable without case counts</v>
      </c>
      <c r="G4" s="9" t="n">
        <v>95</v>
      </c>
      <c r="H4" s="7" t="n">
        <f aca="false">OSoP_Reported!E6</f>
        <v>95</v>
      </c>
      <c r="I4" s="2" t="str">
        <f aca="false">IF(AND(G4=H4,OSoP_Reported!E6=OSoP_Reported!E7),"OK","FLAG")</f>
        <v>OK</v>
      </c>
      <c r="J4" s="4" t="s">
        <v>110</v>
      </c>
      <c r="K4" s="2" t="str">
        <f aca="false">IF(J4&lt;&gt;"Yes","N/A",IF(D4&gt;=G4,"Yes",IF(E4&lt;G4,"No","Not determinable")))</f>
        <v>Yes</v>
      </c>
      <c r="L4" s="2" t="str">
        <f aca="false">IF(AND(B4&gt;=H4,C4&gt;=H4),"Both areas at or above target","At least one area below target")</f>
        <v>Both areas at or above target</v>
      </c>
      <c r="M4" s="2"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4" min="3" style="0" width="12"/>
    <col collapsed="false" customWidth="true" hidden="false" outlineLevel="0" max="6" min="5" style="0" width="13"/>
    <col collapsed="false" customWidth="true" hidden="false" outlineLevel="0" max="7" min="7" style="0" width="12"/>
    <col collapsed="false" customWidth="true" hidden="false" outlineLevel="0" max="8" min="8" style="0" width="60"/>
  </cols>
  <sheetData>
    <row r="1" customFormat="false" ht="46.25" hidden="false" customHeight="false" outlineLevel="0" collapsed="false">
      <c r="A1" s="1" t="s">
        <v>96</v>
      </c>
      <c r="B1" s="1" t="s">
        <v>117</v>
      </c>
      <c r="C1" s="1" t="s">
        <v>102</v>
      </c>
      <c r="D1" s="1" t="s">
        <v>118</v>
      </c>
      <c r="E1" s="1" t="s">
        <v>105</v>
      </c>
      <c r="F1" s="1" t="s">
        <v>119</v>
      </c>
      <c r="G1" s="1" t="s">
        <v>120</v>
      </c>
      <c r="H1" s="1" t="s">
        <v>108</v>
      </c>
    </row>
    <row r="2" customFormat="false" ht="35.05" hidden="false" customHeight="false" outlineLevel="0" collapsed="false">
      <c r="A2" s="2" t="s">
        <v>121</v>
      </c>
      <c r="B2" s="7" t="n">
        <f aca="false">OSoP_Reported!G8</f>
        <v>100</v>
      </c>
      <c r="C2" s="9" t="n">
        <v>90</v>
      </c>
      <c r="D2" s="2" t="s">
        <v>122</v>
      </c>
      <c r="E2" s="4" t="s">
        <v>113</v>
      </c>
      <c r="F2" s="2" t="str">
        <f aca="false">IF(E2&lt;&gt;"Yes","N/A",IF(D2="At least",IF(B2&gt;=C2,"Yes","No"),IF(B2&lt;=C2,"Yes","No")))</f>
        <v>N/A</v>
      </c>
      <c r="G2" s="8" t="n">
        <f aca="false">IF(ISNUMBER(B2),IF(D2="At least",B2-C2,C2-B2),"n/a")</f>
        <v>10</v>
      </c>
      <c r="H2" s="2" t="s">
        <v>123</v>
      </c>
    </row>
    <row r="3" customFormat="false" ht="23.85" hidden="false" customHeight="false" outlineLevel="0" collapsed="false">
      <c r="A3" s="2" t="s">
        <v>124</v>
      </c>
      <c r="B3" s="7" t="str">
        <f aca="false">IF(ISNUMBER(OSoP_Reported!G13),OSoP_Reported!G13,"No value reported")</f>
        <v>No value reported</v>
      </c>
      <c r="C3" s="9" t="n">
        <v>90</v>
      </c>
      <c r="D3" s="2" t="s">
        <v>122</v>
      </c>
      <c r="E3" s="4" t="s">
        <v>113</v>
      </c>
      <c r="F3" s="2" t="str">
        <f aca="false">IF(E3&lt;&gt;"Yes","N/A",IF(D3="At least",IF(B3&gt;=C3,"Yes","No"),IF(B3&lt;=C3,"Yes","No")))</f>
        <v>N/A</v>
      </c>
      <c r="G3" s="8" t="str">
        <f aca="false">IF(ISNUMBER(B3),IF(D3="At least",B3-C3,C3-B3),"n/a")</f>
        <v>n/a</v>
      </c>
      <c r="H3" s="2" t="s">
        <v>125</v>
      </c>
    </row>
    <row r="4" customFormat="false" ht="23.85" hidden="false" customHeight="false" outlineLevel="0" collapsed="false">
      <c r="A4" s="2" t="s">
        <v>126</v>
      </c>
      <c r="B4" s="10" t="n">
        <f aca="false">OSoP_Reported!G14</f>
        <v>0.0004</v>
      </c>
      <c r="C4" s="11" t="n">
        <v>0.1</v>
      </c>
      <c r="D4" s="2" t="s">
        <v>127</v>
      </c>
      <c r="E4" s="4" t="s">
        <v>110</v>
      </c>
      <c r="F4" s="2" t="str">
        <f aca="false">IF(E4&lt;&gt;"Yes","N/A",IF(D4="At least",IF(B4&gt;=C4,"Yes","No"),IF(B4&lt;=C4,"Yes","No")))</f>
        <v>Yes</v>
      </c>
      <c r="G4" s="12" t="n">
        <f aca="false">IF(ISNUMBER(B4),IF(D4="At least",B4-C4,C4-B4),"n/a")</f>
        <v>0.0996</v>
      </c>
      <c r="H4" s="2" t="s">
        <v>128</v>
      </c>
    </row>
    <row r="5" customFormat="false" ht="23.85" hidden="false" customHeight="false" outlineLevel="0" collapsed="false">
      <c r="A5" s="2" t="s">
        <v>129</v>
      </c>
      <c r="B5" s="10" t="n">
        <f aca="false">OSoP_Reported!G15</f>
        <v>0.0013</v>
      </c>
      <c r="C5" s="11" t="n">
        <v>5</v>
      </c>
      <c r="D5" s="2" t="s">
        <v>127</v>
      </c>
      <c r="E5" s="4" t="s">
        <v>110</v>
      </c>
      <c r="F5" s="2" t="str">
        <f aca="false">IF(E5&lt;&gt;"Yes","N/A",IF(D5="At least",IF(B5&gt;=C5,"Yes","No"),IF(B5&lt;=C5,"Yes","No")))</f>
        <v>Yes</v>
      </c>
      <c r="G5" s="12" t="n">
        <f aca="false">IF(ISNUMBER(B5),IF(D5="At least",B5-C5,C5-B5),"n/a")</f>
        <v>4.9987</v>
      </c>
      <c r="H5" s="2"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28"/>
    <col collapsed="false" customWidth="true" hidden="false" outlineLevel="0" max="2" min="2" style="3" width="14"/>
    <col collapsed="false" customWidth="true" hidden="false" outlineLevel="0" max="3" min="3" style="3" width="30"/>
    <col collapsed="false" customWidth="true" hidden="false" outlineLevel="0" max="4" min="4" style="3" width="44"/>
    <col collapsed="false" customWidth="true" hidden="false" outlineLevel="0" max="5" min="5" style="3" width="22"/>
    <col collapsed="false" customWidth="true" hidden="false" outlineLevel="0" max="6" min="6" style="3" width="50"/>
  </cols>
  <sheetData>
    <row r="1" customFormat="false" ht="23.25" hidden="false" customHeight="true" outlineLevel="0" collapsed="false">
      <c r="A1" s="1" t="s">
        <v>131</v>
      </c>
      <c r="B1" s="1" t="s">
        <v>132</v>
      </c>
      <c r="C1" s="1" t="s">
        <v>133</v>
      </c>
      <c r="D1" s="1" t="s">
        <v>134</v>
      </c>
      <c r="E1" s="1" t="s">
        <v>135</v>
      </c>
      <c r="F1" s="1" t="s">
        <v>136</v>
      </c>
    </row>
    <row r="2" customFormat="false" ht="15" hidden="false" customHeight="true" outlineLevel="0" collapsed="false">
      <c r="A2" s="2" t="s">
        <v>137</v>
      </c>
      <c r="B2" s="13" t="n">
        <f aca="false">OSoP_Reported!G18</f>
        <v>19770</v>
      </c>
      <c r="C2" s="2" t="s">
        <v>138</v>
      </c>
      <c r="D2" s="2" t="s">
        <v>139</v>
      </c>
      <c r="E2" s="2" t="s">
        <v>140</v>
      </c>
      <c r="F2" s="2" t="s">
        <v>141</v>
      </c>
    </row>
    <row r="3" customFormat="false" ht="23.25" hidden="false" customHeight="true" outlineLevel="0" collapsed="false">
      <c r="A3" s="2" t="s">
        <v>142</v>
      </c>
      <c r="B3" s="13" t="n">
        <f aca="false">OSoP_Reported!G16</f>
        <v>468</v>
      </c>
      <c r="C3" s="2" t="s">
        <v>143</v>
      </c>
      <c r="D3" s="2" t="s">
        <v>144</v>
      </c>
      <c r="E3" s="2" t="s">
        <v>145</v>
      </c>
      <c r="F3" s="2" t="s">
        <v>141</v>
      </c>
    </row>
    <row r="4" customFormat="false" ht="23.25" hidden="false" customHeight="true" outlineLevel="0" collapsed="false">
      <c r="A4" s="2" t="s">
        <v>146</v>
      </c>
      <c r="B4" s="13" t="n">
        <f aca="false">OSoP_Reported!G17</f>
        <v>40</v>
      </c>
      <c r="C4" s="2" t="s">
        <v>147</v>
      </c>
      <c r="D4" s="2" t="s">
        <v>148</v>
      </c>
      <c r="E4" s="2" t="s">
        <v>149</v>
      </c>
      <c r="F4" s="2" t="s">
        <v>141</v>
      </c>
    </row>
    <row r="5" customFormat="false" ht="15" hidden="false" customHeight="true" outlineLevel="0" collapsed="false">
      <c r="A5" s="2" t="s">
        <v>150</v>
      </c>
      <c r="B5" s="14" t="n">
        <f aca="false">B2/60</f>
        <v>329.5</v>
      </c>
      <c r="C5" s="2" t="s">
        <v>151</v>
      </c>
      <c r="D5" s="2" t="s">
        <v>152</v>
      </c>
      <c r="E5" s="2" t="s">
        <v>153</v>
      </c>
      <c r="F5" s="2" t="s">
        <v>154</v>
      </c>
    </row>
    <row r="6" customFormat="false" ht="23.25" hidden="false" customHeight="true" outlineLevel="0" collapsed="false">
      <c r="A6" s="2" t="s">
        <v>155</v>
      </c>
      <c r="B6" s="14" t="n">
        <f aca="false">B2/B3</f>
        <v>42.2435897435897</v>
      </c>
      <c r="C6" s="2" t="s">
        <v>156</v>
      </c>
      <c r="D6" s="2" t="s">
        <v>157</v>
      </c>
      <c r="E6" s="2" t="s">
        <v>153</v>
      </c>
      <c r="F6" s="2" t="s">
        <v>158</v>
      </c>
    </row>
    <row r="7" customFormat="false" ht="15" hidden="false" customHeight="true" outlineLevel="0" collapsed="false">
      <c r="A7" s="2" t="s">
        <v>159</v>
      </c>
      <c r="B7" s="14" t="n">
        <f aca="false">B4/B3</f>
        <v>0.0854700854700855</v>
      </c>
      <c r="C7" s="2" t="s">
        <v>160</v>
      </c>
      <c r="D7" s="2" t="s">
        <v>157</v>
      </c>
      <c r="E7" s="2" t="s">
        <v>153</v>
      </c>
      <c r="F7" s="2"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0"/>
    <col collapsed="false" customWidth="true" hidden="false" outlineLevel="0" max="4" min="4" style="0" width="70"/>
  </cols>
  <sheetData>
    <row r="1" customFormat="false" ht="15" hidden="false" customHeight="false" outlineLevel="0" collapsed="false">
      <c r="A1" s="1" t="s">
        <v>162</v>
      </c>
      <c r="B1" s="1" t="s">
        <v>163</v>
      </c>
      <c r="C1" s="1" t="s">
        <v>164</v>
      </c>
      <c r="D1" s="1" t="s">
        <v>136</v>
      </c>
    </row>
    <row r="2" customFormat="false" ht="15" hidden="false" customHeight="false" outlineLevel="0" collapsed="false">
      <c r="A2" s="2" t="s">
        <v>65</v>
      </c>
      <c r="B2" s="2" t="s">
        <v>59</v>
      </c>
      <c r="C2" s="2"/>
      <c r="D2" s="2" t="s">
        <v>165</v>
      </c>
    </row>
    <row r="3" customFormat="false" ht="15" hidden="false" customHeight="false" outlineLevel="0" collapsed="false">
      <c r="A3" s="2" t="s">
        <v>71</v>
      </c>
      <c r="B3" s="2" t="s">
        <v>67</v>
      </c>
      <c r="C3" s="15" t="n">
        <f aca="false">OSoP_Reported!G10</f>
        <v>1.5</v>
      </c>
      <c r="D3" s="2" t="s">
        <v>166</v>
      </c>
    </row>
    <row r="4" customFormat="false" ht="15" hidden="false" customHeight="false" outlineLevel="0" collapsed="false">
      <c r="A4" s="2" t="s">
        <v>74</v>
      </c>
      <c r="B4" s="2" t="s">
        <v>59</v>
      </c>
      <c r="C4" s="2"/>
      <c r="D4" s="2"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4"/>
    <col collapsed="false" customWidth="true" hidden="false" outlineLevel="0" max="7" min="7" style="0" width="60"/>
  </cols>
  <sheetData>
    <row r="1" customFormat="false" ht="35.05" hidden="false" customHeight="false" outlineLevel="0" collapsed="false">
      <c r="A1" s="1" t="s">
        <v>167</v>
      </c>
      <c r="B1" s="1" t="s">
        <v>168</v>
      </c>
      <c r="C1" s="1" t="s">
        <v>169</v>
      </c>
      <c r="D1" s="1" t="s">
        <v>170</v>
      </c>
      <c r="E1" s="1" t="s">
        <v>171</v>
      </c>
      <c r="F1" s="1" t="s">
        <v>172</v>
      </c>
      <c r="G1" s="1" t="s">
        <v>34</v>
      </c>
    </row>
    <row r="2" customFormat="false" ht="23.85" hidden="false" customHeight="false" outlineLevel="0" collapsed="false">
      <c r="A2" s="2" t="s">
        <v>173</v>
      </c>
      <c r="B2" s="4" t="s">
        <v>174</v>
      </c>
      <c r="C2" s="4" t="n">
        <v>2</v>
      </c>
      <c r="D2" s="4" t="s">
        <v>174</v>
      </c>
      <c r="E2" s="4" t="n">
        <v>2</v>
      </c>
      <c r="F2" s="2" t="n">
        <f aca="false">E2-C2</f>
        <v>0</v>
      </c>
      <c r="G2" s="2" t="s">
        <v>175</v>
      </c>
    </row>
    <row r="3" customFormat="false" ht="23.85" hidden="false" customHeight="false" outlineLevel="0" collapsed="false">
      <c r="A3" s="2" t="s">
        <v>176</v>
      </c>
      <c r="B3" s="4" t="s">
        <v>177</v>
      </c>
      <c r="C3" s="4" t="n">
        <v>16</v>
      </c>
      <c r="D3" s="4" t="s">
        <v>178</v>
      </c>
      <c r="E3" s="4" t="n">
        <v>24</v>
      </c>
      <c r="F3" s="2" t="n">
        <f aca="false">E3-C3</f>
        <v>8</v>
      </c>
      <c r="G3" s="2" t="s">
        <v>175</v>
      </c>
    </row>
    <row r="4" customFormat="false" ht="23.85" hidden="false" customHeight="false" outlineLevel="0" collapsed="false">
      <c r="A4" s="2" t="s">
        <v>179</v>
      </c>
      <c r="B4" s="4" t="s">
        <v>180</v>
      </c>
      <c r="C4" s="4" t="n">
        <v>53</v>
      </c>
      <c r="D4" s="4" t="s">
        <v>178</v>
      </c>
      <c r="E4" s="4" t="n">
        <v>24</v>
      </c>
      <c r="F4" s="2" t="n">
        <f aca="false">E4-C4</f>
        <v>-29</v>
      </c>
      <c r="G4" s="2" t="s">
        <v>175</v>
      </c>
    </row>
    <row r="5" customFormat="false" ht="23.85" hidden="false" customHeight="false" outlineLevel="0" collapsed="false">
      <c r="A5" s="2" t="s">
        <v>181</v>
      </c>
      <c r="B5" s="4" t="s">
        <v>182</v>
      </c>
      <c r="C5" s="4" t="n">
        <v>0</v>
      </c>
      <c r="D5" s="4" t="s">
        <v>182</v>
      </c>
      <c r="E5" s="4" t="n">
        <v>0</v>
      </c>
      <c r="F5" s="2" t="n">
        <f aca="false">E5-C5</f>
        <v>0</v>
      </c>
      <c r="G5" s="2" t="s">
        <v>175</v>
      </c>
    </row>
    <row r="6" customFormat="false" ht="15" hidden="false" customHeight="false" outlineLevel="0" collapsed="false">
      <c r="A6" s="2" t="s">
        <v>183</v>
      </c>
      <c r="B6" s="2"/>
      <c r="C6" s="2" t="n">
        <f aca="false">SUM(C2:C5)</f>
        <v>71</v>
      </c>
      <c r="D6" s="2"/>
      <c r="E6" s="2" t="n">
        <f aca="false">SUM(E2:E5)</f>
        <v>50</v>
      </c>
      <c r="F6" s="2" t="n">
        <f aca="false">E6-C6</f>
        <v>-21</v>
      </c>
      <c r="G6" s="2"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3" min="3" style="0" width="10"/>
    <col collapsed="false" customWidth="true" hidden="false" outlineLevel="0" max="4" min="4" style="0" width="60"/>
  </cols>
  <sheetData>
    <row r="1" customFormat="false" ht="23.85" hidden="false" customHeight="false" outlineLevel="0" collapsed="false">
      <c r="A1" s="1" t="s">
        <v>185</v>
      </c>
      <c r="B1" s="1" t="s">
        <v>186</v>
      </c>
      <c r="C1" s="1" t="s">
        <v>187</v>
      </c>
      <c r="D1" s="1" t="s">
        <v>188</v>
      </c>
    </row>
    <row r="2" customFormat="false" ht="15" hidden="false" customHeight="false" outlineLevel="0" collapsed="false">
      <c r="A2" s="2" t="s">
        <v>189</v>
      </c>
      <c r="B2" s="7" t="n">
        <f aca="false">Restoration_Shares!F2</f>
        <v>100</v>
      </c>
      <c r="C2" s="2" t="s">
        <v>190</v>
      </c>
      <c r="D2" s="2" t="str">
        <f aca="false">"FY within-standard share: "&amp;TEXT(B2/100,"0.0%")&amp;"."</f>
        <v>FY within-standard share: 100.0%.</v>
      </c>
    </row>
    <row r="3" customFormat="false" ht="23.85" hidden="false" customHeight="false" outlineLevel="0" collapsed="false">
      <c r="A3" s="2" t="s">
        <v>191</v>
      </c>
      <c r="B3" s="7" t="n">
        <f aca="false">Restoration_Shares!F3</f>
        <v>100</v>
      </c>
      <c r="C3" s="2" t="s">
        <v>190</v>
      </c>
      <c r="D3" s="2" t="str">
        <f aca="false">"FY within-standard share (time measured from receipt of complaint): "&amp;TEXT(B3/100,"0.0%")&amp;"."</f>
        <v>FY within-standard share (time measured from receipt of complaint): 100.0%.</v>
      </c>
    </row>
    <row r="4" customFormat="false" ht="23.85" hidden="false" customHeight="false" outlineLevel="0" collapsed="false">
      <c r="A4" s="2" t="s">
        <v>192</v>
      </c>
      <c r="B4" s="2" t="s">
        <v>193</v>
      </c>
      <c r="C4" s="2" t="s">
        <v>193</v>
      </c>
      <c r="D4" s="2" t="s">
        <v>194</v>
      </c>
    </row>
    <row r="5" customFormat="false" ht="15" hidden="false" customHeight="false" outlineLevel="0" collapsed="false">
      <c r="A5" s="2" t="s">
        <v>195</v>
      </c>
      <c r="B5" s="7" t="n">
        <f aca="false">Threshold_Tests!B2</f>
        <v>100</v>
      </c>
      <c r="C5" s="2" t="s">
        <v>190</v>
      </c>
      <c r="D5" s="2" t="str">
        <f aca="false">"FY within-standard share: "&amp;TEXT(B5/100,"0.0%")&amp;"."</f>
        <v>FY within-standard share: 100.0%.</v>
      </c>
    </row>
    <row r="6" customFormat="false" ht="15" hidden="false" customHeight="false" outlineLevel="0" collapsed="false">
      <c r="A6" s="2" t="s">
        <v>196</v>
      </c>
      <c r="B6" s="2" t="s">
        <v>193</v>
      </c>
      <c r="C6" s="2" t="s">
        <v>193</v>
      </c>
      <c r="D6" s="2" t="s">
        <v>197</v>
      </c>
    </row>
    <row r="7" customFormat="false" ht="15" hidden="false" customHeight="false" outlineLevel="0" collapsed="false">
      <c r="A7" s="2" t="s">
        <v>198</v>
      </c>
      <c r="B7" s="10" t="n">
        <f aca="false">Threshold_Tests!B4</f>
        <v>0.0004</v>
      </c>
      <c r="C7" s="2" t="s">
        <v>199</v>
      </c>
      <c r="D7" s="2" t="str">
        <f aca="false">"FY faulty-bill share: "&amp;TEXT(B7/100,"0.0000%")&amp;"."</f>
        <v>FY faulty-bill share: 0.0004%.</v>
      </c>
    </row>
    <row r="8" customFormat="false" ht="15" hidden="false" customHeight="false" outlineLevel="0" collapsed="false">
      <c r="A8" s="2" t="s">
        <v>200</v>
      </c>
      <c r="B8" s="10" t="n">
        <f aca="false">Threshold_Tests!B5</f>
        <v>0.0013</v>
      </c>
      <c r="C8" s="2" t="s">
        <v>199</v>
      </c>
      <c r="D8" s="2" t="str">
        <f aca="false">"FY defective-meter share: "&amp;TEXT(B8/100,"0.0000%")&amp;"."</f>
        <v>FY defective-meter share: 0.0013%.</v>
      </c>
    </row>
    <row r="9" customFormat="false" ht="15" hidden="false" customHeight="false" outlineLevel="0" collapsed="false">
      <c r="A9" s="2" t="s">
        <v>201</v>
      </c>
      <c r="B9" s="13" t="n">
        <f aca="false">Reliability!B2</f>
        <v>19770</v>
      </c>
      <c r="C9" s="2" t="s">
        <v>202</v>
      </c>
      <c r="D9" s="2" t="str">
        <f aca="false">"FY SAIDI: "&amp;TEXT(B9,"#,##0")&amp;" minutes per kW of connected load."</f>
        <v>FY SAIDI: 19,770 minutes per kW of connected load.</v>
      </c>
    </row>
    <row r="10" customFormat="false" ht="15" hidden="false" customHeight="false" outlineLevel="0" collapsed="false">
      <c r="A10" s="2" t="s">
        <v>203</v>
      </c>
      <c r="B10" s="13" t="n">
        <f aca="false">Reliability!B3</f>
        <v>468</v>
      </c>
      <c r="C10" s="2" t="s">
        <v>202</v>
      </c>
      <c r="D10" s="2" t="str">
        <f aca="false">"FY SAIFI: "&amp;TEXT(B10,"#,##0")&amp;" interruptions per kW of connected load."</f>
        <v>FY SAIFI: 468 interruptions per kW of connected load.</v>
      </c>
    </row>
    <row r="11" customFormat="false" ht="15" hidden="false" customHeight="false" outlineLevel="0" collapsed="false">
      <c r="A11" s="2" t="s">
        <v>204</v>
      </c>
      <c r="B11" s="13" t="n">
        <f aca="false">Reliability!B4</f>
        <v>40</v>
      </c>
      <c r="C11" s="2" t="s">
        <v>202</v>
      </c>
      <c r="D11" s="2" t="str">
        <f aca="false">"FY MAIFI: "&amp;TEXT(B11,"#,##0")&amp;" momentary interruptions per kW of connected load."</f>
        <v>FY MAIFI: 40 momentary interruptions per kW of connected load.</v>
      </c>
    </row>
    <row r="12" customFormat="false" ht="15" hidden="false" customHeight="false" outlineLevel="0" collapsed="false">
      <c r="A12" s="2" t="s">
        <v>205</v>
      </c>
      <c r="B12" s="2" t="s">
        <v>193</v>
      </c>
      <c r="C12" s="2" t="s">
        <v>193</v>
      </c>
      <c r="D12" s="2" t="s">
        <v>197</v>
      </c>
    </row>
    <row r="13" customFormat="false" ht="15" hidden="false" customHeight="false" outlineLevel="0" collapsed="false">
      <c r="A13" s="2" t="s">
        <v>206</v>
      </c>
      <c r="B13" s="15" t="n">
        <f aca="false">Voltage_Cases!C3</f>
        <v>1.5</v>
      </c>
      <c r="C13" s="2" t="s">
        <v>207</v>
      </c>
      <c r="D13" s="2" t="str">
        <f aca="false">"FY HT value: "&amp;TEXT(B13,"0.0")&amp;" (unit not established)."</f>
        <v>FY HT value: 1.5 (unit not established).</v>
      </c>
    </row>
    <row r="14" customFormat="false" ht="15" hidden="false" customHeight="false" outlineLevel="0" collapsed="false">
      <c r="A14" s="2" t="s">
        <v>208</v>
      </c>
      <c r="B14" s="16" t="n">
        <f aca="false">Accidents!E2</f>
        <v>2</v>
      </c>
      <c r="C14" s="2" t="s">
        <v>209</v>
      </c>
      <c r="D14" s="2" t="str">
        <f aca="false">"FY fatal human accidents: "&amp;B14&amp;"."</f>
        <v>FY fatal human accidents: 2.</v>
      </c>
    </row>
    <row r="15" customFormat="false" ht="15" hidden="false" customHeight="false" outlineLevel="0" collapsed="false">
      <c r="A15" s="2" t="s">
        <v>210</v>
      </c>
      <c r="B15" s="16" t="n">
        <f aca="false">Accidents!E3</f>
        <v>24</v>
      </c>
      <c r="C15" s="2" t="s">
        <v>209</v>
      </c>
      <c r="D15" s="2" t="str">
        <f aca="false">"FY non-fatal human accidents: "&amp;B15&amp;"."</f>
        <v>FY non-fatal human accidents: 24.</v>
      </c>
    </row>
    <row r="16" customFormat="false" ht="15" hidden="false" customHeight="false" outlineLevel="0" collapsed="false">
      <c r="A16" s="2" t="s">
        <v>211</v>
      </c>
      <c r="B16" s="16" t="n">
        <f aca="false">Accidents!E4</f>
        <v>24</v>
      </c>
      <c r="C16" s="2" t="s">
        <v>209</v>
      </c>
      <c r="D16" s="2" t="str">
        <f aca="false">"FY fatal animal accidents: "&amp;B16&amp;"."</f>
        <v>FY fatal animal accidents: 24.</v>
      </c>
    </row>
    <row r="17" customFormat="false" ht="15" hidden="false" customHeight="false" outlineLevel="0" collapsed="false">
      <c r="A17" s="2" t="s">
        <v>212</v>
      </c>
      <c r="B17" s="16" t="n">
        <f aca="false">Accidents!E5</f>
        <v>0</v>
      </c>
      <c r="C17" s="2" t="s">
        <v>209</v>
      </c>
      <c r="D17" s="2"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8"/>
    <col collapsed="false" customWidth="true" hidden="false" outlineLevel="0" max="4" min="4" style="0" width="12"/>
    <col collapsed="false" customWidth="true" hidden="false" outlineLevel="0" max="5" min="5" style="0" width="9"/>
    <col collapsed="false" customWidth="true" hidden="false" outlineLevel="0" max="7" min="6" style="0" width="40"/>
  </cols>
  <sheetData>
    <row r="1" customFormat="false" ht="35.05" hidden="false" customHeight="false" outlineLevel="0" collapsed="false">
      <c r="A1" s="1" t="s">
        <v>0</v>
      </c>
      <c r="B1" s="1" t="s">
        <v>213</v>
      </c>
      <c r="C1" s="1" t="s">
        <v>214</v>
      </c>
      <c r="D1" s="1" t="s">
        <v>215</v>
      </c>
      <c r="E1" s="1" t="s">
        <v>216</v>
      </c>
      <c r="F1" s="1" t="s">
        <v>217</v>
      </c>
      <c r="G1" s="1" t="s">
        <v>218</v>
      </c>
    </row>
    <row r="2" customFormat="false" ht="23.85" hidden="false" customHeight="false" outlineLevel="0" collapsed="false">
      <c r="A2" s="2" t="s">
        <v>219</v>
      </c>
      <c r="B2" s="4" t="n">
        <v>2</v>
      </c>
      <c r="C2" s="16" t="n">
        <f aca="false">Accidents!C2</f>
        <v>2</v>
      </c>
      <c r="D2" s="2" t="n">
        <f aca="false">C2-B2</f>
        <v>0</v>
      </c>
      <c r="E2" s="2" t="str">
        <f aca="false">IF(D2=0,"OK","FLAG")</f>
        <v>OK</v>
      </c>
      <c r="F2" s="2" t="s">
        <v>220</v>
      </c>
      <c r="G2" s="2" t="s">
        <v>41</v>
      </c>
    </row>
    <row r="3" customFormat="false" ht="23.85" hidden="false" customHeight="false" outlineLevel="0" collapsed="false">
      <c r="A3" s="2" t="s">
        <v>221</v>
      </c>
      <c r="B3" s="4" t="n">
        <v>16</v>
      </c>
      <c r="C3" s="16" t="n">
        <f aca="false">Accidents!C3</f>
        <v>16</v>
      </c>
      <c r="D3" s="2" t="n">
        <f aca="false">C3-B3</f>
        <v>0</v>
      </c>
      <c r="E3" s="2" t="str">
        <f aca="false">IF(D3=0,"OK","FLAG")</f>
        <v>OK</v>
      </c>
      <c r="F3" s="2" t="s">
        <v>220</v>
      </c>
      <c r="G3" s="2" t="s">
        <v>41</v>
      </c>
    </row>
    <row r="4" customFormat="false" ht="23.85" hidden="false" customHeight="false" outlineLevel="0" collapsed="false">
      <c r="A4" s="2" t="s">
        <v>222</v>
      </c>
      <c r="B4" s="4" t="n">
        <v>53</v>
      </c>
      <c r="C4" s="16" t="n">
        <f aca="false">Accidents!C4</f>
        <v>53</v>
      </c>
      <c r="D4" s="2" t="n">
        <f aca="false">C4-B4</f>
        <v>0</v>
      </c>
      <c r="E4" s="2" t="str">
        <f aca="false">IF(D4=0,"OK","FLAG")</f>
        <v>OK</v>
      </c>
      <c r="F4" s="2" t="s">
        <v>220</v>
      </c>
      <c r="G4" s="2" t="s">
        <v>41</v>
      </c>
    </row>
    <row r="5" customFormat="false" ht="23.85" hidden="false" customHeight="false" outlineLevel="0" collapsed="false">
      <c r="A5" s="2" t="s">
        <v>223</v>
      </c>
      <c r="B5" s="4" t="n">
        <v>0</v>
      </c>
      <c r="C5" s="16" t="n">
        <f aca="false">Accidents!C5</f>
        <v>0</v>
      </c>
      <c r="D5" s="2" t="n">
        <f aca="false">C5-B5</f>
        <v>0</v>
      </c>
      <c r="E5" s="2" t="str">
        <f aca="false">IF(D5=0,"OK","FLAG")</f>
        <v>OK</v>
      </c>
      <c r="F5" s="2" t="s">
        <v>220</v>
      </c>
      <c r="G5" s="2"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1" t="s">
        <v>224</v>
      </c>
      <c r="B1" s="1" t="s">
        <v>225</v>
      </c>
      <c r="C1" s="1" t="s">
        <v>226</v>
      </c>
    </row>
    <row r="2" customFormat="false" ht="23.85" hidden="false" customHeight="false" outlineLevel="0" collapsed="false">
      <c r="A2" s="2" t="s">
        <v>227</v>
      </c>
      <c r="B2" s="2" t="s">
        <v>228</v>
      </c>
      <c r="C2" s="2" t="s">
        <v>229</v>
      </c>
    </row>
    <row r="3" customFormat="false" ht="191.75" hidden="false" customHeight="false" outlineLevel="0" collapsed="false">
      <c r="A3" s="2" t="s">
        <v>230</v>
      </c>
      <c r="B3" s="2" t="s">
        <v>231</v>
      </c>
      <c r="C3" s="2" t="s">
        <v>232</v>
      </c>
    </row>
    <row r="4" customFormat="false" ht="15" hidden="false" customHeight="false" outlineLevel="0" collapsed="false">
      <c r="A4" s="2" t="s">
        <v>233</v>
      </c>
      <c r="B4" s="2" t="s">
        <v>228</v>
      </c>
      <c r="C4" s="2" t="s">
        <v>234</v>
      </c>
    </row>
    <row r="5" customFormat="false" ht="15" hidden="false" customHeight="false" outlineLevel="0" collapsed="false">
      <c r="A5" s="2" t="s">
        <v>235</v>
      </c>
      <c r="B5" s="2" t="s">
        <v>228</v>
      </c>
      <c r="C5" s="2" t="s">
        <v>236</v>
      </c>
    </row>
    <row r="6" customFormat="false" ht="35.05" hidden="false" customHeight="false" outlineLevel="0" collapsed="false">
      <c r="A6" s="2" t="s">
        <v>237</v>
      </c>
      <c r="B6" s="2" t="s">
        <v>231</v>
      </c>
      <c r="C6" s="2" t="s">
        <v>238</v>
      </c>
    </row>
    <row r="7" customFormat="false" ht="23.85" hidden="false" customHeight="false" outlineLevel="0" collapsed="false">
      <c r="A7" s="2" t="s">
        <v>239</v>
      </c>
      <c r="B7" s="2" t="s">
        <v>228</v>
      </c>
      <c r="C7" s="2" t="s">
        <v>240</v>
      </c>
    </row>
    <row r="8" customFormat="false" ht="23.85" hidden="false" customHeight="false" outlineLevel="0" collapsed="false">
      <c r="A8" s="2" t="s">
        <v>241</v>
      </c>
      <c r="B8" s="2" t="s">
        <v>228</v>
      </c>
      <c r="C8" s="2"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1" t="s">
        <v>224</v>
      </c>
      <c r="B1" s="1" t="s">
        <v>225</v>
      </c>
      <c r="C1" s="1" t="s">
        <v>243</v>
      </c>
    </row>
    <row r="2" customFormat="false" ht="35.05" hidden="false" customHeight="false" outlineLevel="0" collapsed="false">
      <c r="A2" s="2" t="s">
        <v>244</v>
      </c>
      <c r="B2" s="2" t="s">
        <v>228</v>
      </c>
      <c r="C2" s="2" t="s">
        <v>245</v>
      </c>
    </row>
    <row r="3" customFormat="false" ht="15" hidden="false" customHeight="false" outlineLevel="0" collapsed="false">
      <c r="A3" s="2" t="s">
        <v>246</v>
      </c>
      <c r="B3" s="2" t="s">
        <v>228</v>
      </c>
      <c r="C3" s="2" t="s">
        <v>247</v>
      </c>
    </row>
    <row r="4" customFormat="false" ht="15" hidden="false" customHeight="false" outlineLevel="0" collapsed="false">
      <c r="A4" s="2" t="s">
        <v>248</v>
      </c>
      <c r="B4" s="2" t="s">
        <v>228</v>
      </c>
      <c r="C4" s="2" t="s">
        <v>249</v>
      </c>
    </row>
    <row r="5" customFormat="false" ht="23.85" hidden="false" customHeight="false" outlineLevel="0" collapsed="false">
      <c r="A5" s="2" t="s">
        <v>250</v>
      </c>
      <c r="B5" s="2" t="s">
        <v>251</v>
      </c>
      <c r="C5" s="2" t="s">
        <v>252</v>
      </c>
    </row>
    <row r="6" customFormat="false" ht="23.85" hidden="false" customHeight="false" outlineLevel="0" collapsed="false">
      <c r="A6" s="2" t="s">
        <v>253</v>
      </c>
      <c r="B6" s="2" t="s">
        <v>228</v>
      </c>
      <c r="C6" s="2" t="s">
        <v>254</v>
      </c>
    </row>
    <row r="7" customFormat="false" ht="23.85" hidden="false" customHeight="false" outlineLevel="0" collapsed="false">
      <c r="A7" s="2" t="s">
        <v>255</v>
      </c>
      <c r="B7" s="2" t="s">
        <v>256</v>
      </c>
      <c r="C7" s="2" t="s">
        <v>257</v>
      </c>
    </row>
    <row r="8" customFormat="false" ht="23.85" hidden="false" customHeight="false" outlineLevel="0" collapsed="false">
      <c r="A8" s="2" t="s">
        <v>258</v>
      </c>
      <c r="B8" s="2" t="s">
        <v>228</v>
      </c>
      <c r="C8" s="2" t="s">
        <v>259</v>
      </c>
    </row>
    <row r="9" customFormat="false" ht="23.85" hidden="false" customHeight="false" outlineLevel="0" collapsed="false">
      <c r="A9" s="2" t="s">
        <v>260</v>
      </c>
      <c r="B9" s="2" t="s">
        <v>228</v>
      </c>
      <c r="C9" s="2" t="s">
        <v>261</v>
      </c>
    </row>
    <row r="10" customFormat="false" ht="23.85" hidden="false" customHeight="false" outlineLevel="0" collapsed="false">
      <c r="A10" s="2" t="s">
        <v>262</v>
      </c>
      <c r="B10" s="2" t="s">
        <v>228</v>
      </c>
      <c r="C10" s="2" t="s">
        <v>263</v>
      </c>
    </row>
    <row r="11" customFormat="false" ht="15" hidden="false" customHeight="false" outlineLevel="0" collapsed="false">
      <c r="A11" s="2" t="s">
        <v>264</v>
      </c>
      <c r="B11" s="2" t="s">
        <v>228</v>
      </c>
      <c r="C11" s="2" t="s">
        <v>265</v>
      </c>
    </row>
    <row r="12" customFormat="false" ht="15" hidden="false" customHeight="false" outlineLevel="0" collapsed="false">
      <c r="A12" s="2" t="s">
        <v>266</v>
      </c>
      <c r="B12" s="2" t="s">
        <v>228</v>
      </c>
      <c r="C12" s="2" t="s">
        <v>267</v>
      </c>
    </row>
    <row r="13" customFormat="false" ht="23.85" hidden="false" customHeight="false" outlineLevel="0" collapsed="false">
      <c r="A13" s="2" t="s">
        <v>268</v>
      </c>
      <c r="B13" s="2" t="s">
        <v>228</v>
      </c>
      <c r="C13" s="2" t="s">
        <v>269</v>
      </c>
    </row>
    <row r="14" customFormat="false" ht="15" hidden="false" customHeight="false" outlineLevel="0" collapsed="false">
      <c r="A14" s="2" t="s">
        <v>270</v>
      </c>
      <c r="B14" s="2" t="s">
        <v>228</v>
      </c>
      <c r="C14" s="2" t="s">
        <v>271</v>
      </c>
    </row>
    <row r="15" customFormat="false" ht="23.85" hidden="false" customHeight="false" outlineLevel="0" collapsed="false">
      <c r="A15" s="2" t="s">
        <v>272</v>
      </c>
      <c r="B15" s="2" t="s">
        <v>273</v>
      </c>
      <c r="C15" s="2"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2026-10-14T08:52:19Z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