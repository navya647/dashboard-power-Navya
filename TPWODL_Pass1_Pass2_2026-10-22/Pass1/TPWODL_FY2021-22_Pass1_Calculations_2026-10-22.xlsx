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hodology" sheetId="1" state="visible" r:id="rId3"/>
    <sheet name="OSoP_Reported" sheetId="2" state="visible" r:id="rId4"/>
    <sheet name="Restoration_Shares" sheetId="3" state="visible" r:id="rId5"/>
    <sheet name="Threshold_Tests" sheetId="4" state="visible" r:id="rId6"/>
    <sheet name="Reliability" sheetId="5" state="visible" r:id="rId7"/>
    <sheet name="Accidents" sheetId="6" state="visible" r:id="rId8"/>
    <sheet name="Dashboard_Transfer" sheetId="7" state="visible" r:id="rId9"/>
    <sheet name="Reference_Consistency" sheetId="8" state="visible" r:id="rId10"/>
    <sheet name="QC_Gate"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<sst xmlns="http://schemas.openxmlformats.org/spreadsheetml/2006/main" count="367" uniqueCount="252">
  <si>
    <t xml:space="preserve">Item</t>
  </si>
  <si>
    <t xml:space="preserve">Description</t>
  </si>
  <si>
    <t xml:space="preserve">Purpose</t>
  </si>
  <si>
    <t xml:space="preserve">Full calculation trail for TPWODL (Odisha), FY 2021-22 (Pass 1, permitted repository only). Applicable regulation: OERC (Licensees' Standards of Performance) Regulations, 2004 (S1) as amended by the 1st Amendment Regulations, 2010 (S2); no later amendment or replacement found in the repository.</t>
  </si>
  <si>
    <t xml:space="preserve">Colour convention</t>
  </si>
  <si>
    <t xml:space="preserve">Blue = values transcribed from source documents; black = formulas; green = links to other sheets.</t>
  </si>
  <si>
    <t xml:space="preserve">Reported-performance source</t>
  </si>
  <si>
    <t xml:space="preserve">OERC statement 'Performance of Electricity Distribution Companies in Odisha during the FY 2021-22 (as reported and furnished through an affidavit): Achievement on Overall Standards of Performance' (S3), single page, TPWODL column 'For the year 2021-22'. All values are annual. Values transcribed in OSoP_Reported; the TPWODL column alignment was verified against a rendered image of the page.</t>
  </si>
  <si>
    <t xml:space="preserve">Restoration shares</t>
  </si>
  <si>
    <t xml:space="preserve">S3 reports annual within-standard shares for urban and rural areas separately. S1 Sch. II sets one aggregate threshold over total cases. The combined FY share lies between the two area shares for any case weights; where both equal 100.00%, the combined share is 100.0% without case counts (Restoration_Shares). Compliance test: combined share ≥ threshold is certain if the lower area share ≥ threshold; fails with certainty if the higher area share &lt; threshold; otherwise not determinable without counts.</t>
  </si>
  <si>
    <t xml:space="preserve">Ratio standards</t>
  </si>
  <si>
    <t xml:space="preserve">Street-light share (≥ 90%), faulty-bill share (≤ 0.1%) and defective-meter share (≤ 5%) are single annual reported values compared directly with the S1 threshold where comparison is possible (Threshold_Tests).</t>
  </si>
  <si>
    <t xml:space="preserve">Reliability indices</t>
  </si>
  <si>
    <t xml:space="preserve">S1 Sch. II 1.5 formulas (p.15): SAIFI = Σ(Ai×Ni) ÷ Nt; SAIDI = Σ(Bi×Ni) ÷ Nt; MAIFI = Σ(Ci×Ni) ÷ Nt, with Ni = connected load of feeder i affected and Nt = total 11 kV connected load. S3 reports annual values 'faced by 1 KW connected load' with units (Nos.) and (Minutes). No components are reported, so no reconstruction is possible or needed; values are used as reported (Reliability).</t>
  </si>
  <si>
    <t xml:space="preserve">Accidents</t>
  </si>
  <si>
    <t xml:space="preserve">S3 'No. of accident cases' for FY 2020-21 and FY 2021-22. FY 2021-22 counts used; year-on-year change computed for context only (Accidents).</t>
  </si>
  <si>
    <t xml:space="preserve">Annualisation</t>
  </si>
  <si>
    <t xml:space="preserve">All reported values are annual; no annualisation, summation or averaging of sub-annual values was performed. No unit conversions were required (SAIDI already in minutes).</t>
  </si>
  <si>
    <t xml:space="preserve">Assumptions</t>
  </si>
  <si>
    <t xml:space="preserve">None beyond the documented treatments: (i) Sch. I 1.2 time limits applied to Sch. II 1.1 (cross-reference flag); (ii) 'towns and cities' treated as 'urban areas'; (iii) S3 faulty-bill parameter treated as the S1 billing-mistake parameter.</t>
  </si>
  <si>
    <t xml:space="preserve">Dashboard transfer</t>
  </si>
  <si>
    <t xml:space="preserve">Dashboard_Transfer links each main-sheet value to its calculation cell and builds the annualised text with formulas; QC_Gate records the final checks.</t>
  </si>
  <si>
    <t xml:space="preserve">Ref</t>
  </si>
  <si>
    <t xml:space="preserve">Parameter (as published)</t>
  </si>
  <si>
    <t xml:space="preserve">Area</t>
  </si>
  <si>
    <t xml:space="preserve">Minimum target fixed by the Commission (as printed)</t>
  </si>
  <si>
    <t xml:space="preserve">Target (numeric)</t>
  </si>
  <si>
    <t xml:space="preserve">TPWODL FY 2021-22 (as printed)</t>
  </si>
  <si>
    <t xml:space="preserve">TPWODL value (numeric)</t>
  </si>
  <si>
    <t xml:space="preserve">Unit (as published)</t>
  </si>
  <si>
    <t xml:space="preserve">Source</t>
  </si>
  <si>
    <t xml:space="preserve">R1</t>
  </si>
  <si>
    <t xml:space="preserve">Rectification of fuse-off call within 6 hrs. of receiving the complaint in urban areas</t>
  </si>
  <si>
    <t xml:space="preserve">Urban</t>
  </si>
  <si>
    <t xml:space="preserve">90</t>
  </si>
  <si>
    <t xml:space="preserve">100.00</t>
  </si>
  <si>
    <t xml:space="preserve">%</t>
  </si>
  <si>
    <t xml:space="preserve">S3, OERC Achievement on Overall Standards of Performance FY 2021-22, p.1</t>
  </si>
  <si>
    <t xml:space="preserve">R2</t>
  </si>
  <si>
    <t xml:space="preserve">Rectification of fuse-off call within 24 hrs. of receiving the complaint in rural areas</t>
  </si>
  <si>
    <t xml:space="preserve">Rural</t>
  </si>
  <si>
    <t xml:space="preserve">R3</t>
  </si>
  <si>
    <t xml:space="preserve">Restoration of line break-down within 12 hrs. of receiving the complaint in urban areas</t>
  </si>
  <si>
    <t xml:space="preserve">95</t>
  </si>
  <si>
    <t xml:space="preserve">R4</t>
  </si>
  <si>
    <t xml:space="preserve">Restoration of line break-down within 24 hrs. of receiving the complaint in rural areas</t>
  </si>
  <si>
    <t xml:space="preserve">R5</t>
  </si>
  <si>
    <t xml:space="preserve">Replacement of Distribution Transformer within 24 hrs. of receiving the complaint in urban areas</t>
  </si>
  <si>
    <t xml:space="preserve">R6</t>
  </si>
  <si>
    <t xml:space="preserve">Replacement of Distribution Transformer within 48 hrs. of receiving the complaint in rural areas</t>
  </si>
  <si>
    <t xml:space="preserve">R7</t>
  </si>
  <si>
    <t xml:space="preserve">Completing the work within 12 hrs. of the scheduled outage before 5 PM/6 PM</t>
  </si>
  <si>
    <t xml:space="preserve">All</t>
  </si>
  <si>
    <t xml:space="preserve">--</t>
  </si>
  <si>
    <t xml:space="preserve">R8</t>
  </si>
  <si>
    <t xml:space="preserve">No. of hourly measurement in which the supply frequency went beyond ± 3%</t>
  </si>
  <si>
    <t xml:space="preserve">count</t>
  </si>
  <si>
    <t xml:space="preserve">R9</t>
  </si>
  <si>
    <t xml:space="preserve">No. of cases in which voltage at the point of commencement of supply exceeded 3% of the voltage limits fixed under I.E. Rules, 1956: EHT</t>
  </si>
  <si>
    <t xml:space="preserve">EHT</t>
  </si>
  <si>
    <t xml:space="preserve">(blank)</t>
  </si>
  <si>
    <t xml:space="preserve">R10</t>
  </si>
  <si>
    <t xml:space="preserve">Same: HT</t>
  </si>
  <si>
    <t xml:space="preserve">HT</t>
  </si>
  <si>
    <t xml:space="preserve">R11</t>
  </si>
  <si>
    <t xml:space="preserve">Same: LT</t>
  </si>
  <si>
    <t xml:space="preserve">LT</t>
  </si>
  <si>
    <t xml:space="preserve">R12</t>
  </si>
  <si>
    <t xml:space="preserve">Rectification of Street light fault within 6 hrs. of receiving the complaint</t>
  </si>
  <si>
    <t xml:space="preserve">R13</t>
  </si>
  <si>
    <t xml:space="preserve">No. of faulty bills prepared as a percentage of total no. of bills issued</t>
  </si>
  <si>
    <t xml:space="preserve">0.1</t>
  </si>
  <si>
    <t xml:space="preserve">0.10</t>
  </si>
  <si>
    <t xml:space="preserve">R14</t>
  </si>
  <si>
    <t xml:space="preserve">No. of faulty/defective meters as a percentage of total no. of existing meters</t>
  </si>
  <si>
    <t xml:space="preserve">5</t>
  </si>
  <si>
    <t xml:space="preserve">R15</t>
  </si>
  <si>
    <t xml:space="preserve">Total no. of interruption each lasting more than 5 minutes faced by 1 KW connected load (SAIFI)(Nos.)</t>
  </si>
  <si>
    <t xml:space="preserve">600</t>
  </si>
  <si>
    <t xml:space="preserve">Nos. per 1 kW</t>
  </si>
  <si>
    <t xml:space="preserve">R16</t>
  </si>
  <si>
    <t xml:space="preserve">Total no. of interruption each lasting less than 5 minutes faced by 1 KW connected load (MAIFI)(Nos.)</t>
  </si>
  <si>
    <t xml:space="preserve">66</t>
  </si>
  <si>
    <t xml:space="preserve">R17</t>
  </si>
  <si>
    <t xml:space="preserve">Total duration of interruption in minutes each 1 KW connected load (SAIDI)(Minutes)</t>
  </si>
  <si>
    <t xml:space="preserve">25441</t>
  </si>
  <si>
    <t xml:space="preserve">Minutes per 1 kW</t>
  </si>
  <si>
    <t xml:space="preserve">Parameter</t>
  </si>
  <si>
    <t xml:space="preserve">Urban share (%)</t>
  </si>
  <si>
    <t xml:space="preserve">Rural share (%)</t>
  </si>
  <si>
    <t xml:space="preserve">Lower area share (%)</t>
  </si>
  <si>
    <t xml:space="preserve">Higher area share (%)</t>
  </si>
  <si>
    <t xml:space="preserve">Combined FY share (%)</t>
  </si>
  <si>
    <t xml:space="preserve">Regulatory threshold (%) (S1)</t>
  </si>
  <si>
    <t xml:space="preserve">Commission target shown in S3 (%)</t>
  </si>
  <si>
    <t xml:space="preserve">Threshold check (S1 = S3)</t>
  </si>
  <si>
    <t xml:space="preserve">Comparison possible? (dashboard decision)</t>
  </si>
  <si>
    <t xml:space="preserve">Aggregate test on S1 basis</t>
  </si>
  <si>
    <t xml:space="preserve">Area-level test (S3 presentation)</t>
  </si>
  <si>
    <t xml:space="preserve">Source / note</t>
  </si>
  <si>
    <t xml:space="preserve">Normal fuse-off call rectification</t>
  </si>
  <si>
    <t xml:space="preserve">Yes</t>
  </si>
  <si>
    <t xml:space="preserve">S1 Sch. II 1.1 (p.14); time limits S1 Sch. I 1.2 (p.7); values OSoP_Reported R1–R2</t>
  </si>
  <si>
    <t xml:space="preserve">Line breakdown restoration</t>
  </si>
  <si>
    <t xml:space="preserve">No</t>
  </si>
  <si>
    <t xml:space="preserve">S1 Sch. II 1.2 (p.14); values OSoP_Reported R3–R4. Comparison not possible: S3 time from receipt of complaint, S1 from occurrence</t>
  </si>
  <si>
    <t xml:space="preserve">Distribution transformer failure restoration</t>
  </si>
  <si>
    <t xml:space="preserve">S1 Sch. II 1.3 (p.14); time limits S1 Sch. I 1.4 (p.7); values OSoP_Reported R5–R6</t>
  </si>
  <si>
    <t xml:space="preserve">Reported value (%)</t>
  </si>
  <si>
    <t xml:space="preserve">Direction</t>
  </si>
  <si>
    <t xml:space="preserve">Test result (original basis)</t>
  </si>
  <si>
    <t xml:space="preserve">Margin to threshold (pp)</t>
  </si>
  <si>
    <t xml:space="preserve">Street-light fault rectification share</t>
  </si>
  <si>
    <t xml:space="preserve">At least</t>
  </si>
  <si>
    <t xml:space="preserve">S1 Sch. II 1.8 (p.16). Comparison not possible: S1 time from detection or complaint, whichever earlier; S3 from receipt of complaint</t>
  </si>
  <si>
    <t xml:space="preserve">Faulty-bill share</t>
  </si>
  <si>
    <t xml:space="preserve">Not more than</t>
  </si>
  <si>
    <t xml:space="preserve">S1 Sch. II 1.9 (p.16); value equals threshold</t>
  </si>
  <si>
    <t xml:space="preserve">Defective-meter share</t>
  </si>
  <si>
    <t xml:space="preserve">S1 Sch. II 1.10 (p.16); value equals threshold</t>
  </si>
  <si>
    <t xml:space="preserve">Index</t>
  </si>
  <si>
    <t xml:space="preserve">Reported FY value</t>
  </si>
  <si>
    <t xml:space="preserve">Unit (dashboard)</t>
  </si>
  <si>
    <t xml:space="preserve">Unit evidence</t>
  </si>
  <si>
    <t xml:space="preserve">Formula (S1 Sch. II 1.5, p.15)</t>
  </si>
  <si>
    <t xml:space="preserve">Note</t>
  </si>
  <si>
    <t xml:space="preserve">SAIDI</t>
  </si>
  <si>
    <t xml:space="preserve">Minutes per kW of connected load</t>
  </si>
  <si>
    <t xml:space="preserve">S3 '(Minutes)', 'each 1 KW connected load'</t>
  </si>
  <si>
    <t xml:space="preserve">Σ(Bi×Ni) ÷ Nt</t>
  </si>
  <si>
    <t xml:space="preserve">Annual value; no components reported</t>
  </si>
  <si>
    <t xml:space="preserve">SAIFI</t>
  </si>
  <si>
    <t xml:space="preserve">Interruptions per kW of connected load</t>
  </si>
  <si>
    <t xml:space="preserve">S3 '(Nos.)', 'faced by 1 KW connected load'; S1 formula (count × kW ÷ kW)</t>
  </si>
  <si>
    <t xml:space="preserve">Σ(Ai×Ni) ÷ Nt</t>
  </si>
  <si>
    <t xml:space="preserve">MAIFI</t>
  </si>
  <si>
    <t xml:space="preserve">Momentary interruptions per kW of connected load</t>
  </si>
  <si>
    <t xml:space="preserve">S3 '(Nos.)', 'faced by 1 KW connected load'; S1 formula</t>
  </si>
  <si>
    <t xml:space="preserve">Σ(Ci×Ni) ÷ Nt</t>
  </si>
  <si>
    <t xml:space="preserve">SAIDI in hours (information)</t>
  </si>
  <si>
    <t xml:space="preserve">Hours per kW of connected load</t>
  </si>
  <si>
    <t xml:space="preserve">Conversion ÷ 60</t>
  </si>
  <si>
    <t xml:space="preserve">Not applicable</t>
  </si>
  <si>
    <t xml:space="preserve">Not used on the dashboard</t>
  </si>
  <si>
    <t xml:space="preserve">Plausibility: SAIDI ÷ SAIFI</t>
  </si>
  <si>
    <t xml:space="preserve">Minutes per interruption</t>
  </si>
  <si>
    <t xml:space="preserve">Derived</t>
  </si>
  <si>
    <t xml:space="preserve">Plausibility check only; CAIDI is not specified in S1 or reported in S3 and is not a dashboard indicator</t>
  </si>
  <si>
    <t xml:space="preserve">Plausibility: MAIFI ÷ SAIFI</t>
  </si>
  <si>
    <t xml:space="preserve">Ratio</t>
  </si>
  <si>
    <t xml:space="preserve">Plausibility check only</t>
  </si>
  <si>
    <t xml:space="preserve">Category</t>
  </si>
  <si>
    <t xml:space="preserve">FY 2020-21 (as printed)</t>
  </si>
  <si>
    <t xml:space="preserve">FY 2020-21</t>
  </si>
  <si>
    <t xml:space="preserve">FY 2021-22 (as printed)</t>
  </si>
  <si>
    <t xml:space="preserve">FY 2021-22</t>
  </si>
  <si>
    <t xml:space="preserve">Change (FY 2021-22 − FY 2020-21)</t>
  </si>
  <si>
    <t xml:space="preserve">Fatal Human</t>
  </si>
  <si>
    <t xml:space="preserve">14</t>
  </si>
  <si>
    <t xml:space="preserve">02</t>
  </si>
  <si>
    <t xml:space="preserve">S3, OERC Achievement on Overall Standards of Performance FY 2021-22, p.1, accident table, TPWODL columns 20-21 / 21-22</t>
  </si>
  <si>
    <t xml:space="preserve">Non-fatal Human</t>
  </si>
  <si>
    <t xml:space="preserve">11</t>
  </si>
  <si>
    <t xml:space="preserve">16</t>
  </si>
  <si>
    <t xml:space="preserve">Fatal Animal</t>
  </si>
  <si>
    <t xml:space="preserve">10</t>
  </si>
  <si>
    <t xml:space="preserve">53</t>
  </si>
  <si>
    <t xml:space="preserve">Non-fatal Animal</t>
  </si>
  <si>
    <t xml:space="preserve">08</t>
  </si>
  <si>
    <t xml:space="preserve">00</t>
  </si>
  <si>
    <t xml:space="preserve">Total (all categories)</t>
  </si>
  <si>
    <t xml:space="preserve">Computed</t>
  </si>
  <si>
    <t xml:space="preserve">Main-sheet indicator</t>
  </si>
  <si>
    <t xml:space="preserve">FY value (formula)</t>
  </si>
  <si>
    <t xml:space="preserve">Format</t>
  </si>
  <si>
    <t xml:space="preserve">Dashboard text (Annualised / standardised reported data)</t>
  </si>
  <si>
    <t xml:space="preserve">Normal fuse-off call rectification — share resolved within standard</t>
  </si>
  <si>
    <t xml:space="preserve">0.0%</t>
  </si>
  <si>
    <t xml:space="preserve">Line breakdown restoration — share resolved within standard</t>
  </si>
  <si>
    <t xml:space="preserve">Distribution transformer failure restoration — share resolved within standard</t>
  </si>
  <si>
    <t xml:space="preserve">Scheduled outage restoration — share resolved within standard</t>
  </si>
  <si>
    <t xml:space="preserve">n/a</t>
  </si>
  <si>
    <t xml:space="preserve">Not annualised: no reported value.</t>
  </si>
  <si>
    <t xml:space="preserve">Street-light fault rectification — share resolved within standard</t>
  </si>
  <si>
    <t xml:space="preserve">Billing mistakes — faulty bills as share of bills issued</t>
  </si>
  <si>
    <t xml:space="preserve">0.00%</t>
  </si>
  <si>
    <t xml:space="preserve">Defective meters — share of meters in service</t>
  </si>
  <si>
    <t xml:space="preserve">System Average Interruption Duration Index (SAIDI)</t>
  </si>
  <si>
    <t xml:space="preserve">#,##0</t>
  </si>
  <si>
    <t xml:space="preserve">System Average Interruption Frequency Index (SAIFI)</t>
  </si>
  <si>
    <t xml:space="preserve">Momentary Average Interruption Frequency Index (MAIFI)</t>
  </si>
  <si>
    <t xml:space="preserve">Supply frequency outside ±3% of 50 Hz — number of hourly measurements</t>
  </si>
  <si>
    <t xml:space="preserve">Supply voltage at point of supply outside limits — number of cases (EHT / HT / LT)</t>
  </si>
  <si>
    <t xml:space="preserve">Fatal electrical accidents — humans</t>
  </si>
  <si>
    <t xml:space="preserve">0</t>
  </si>
  <si>
    <t xml:space="preserve">Non-fatal electrical accidents — humans</t>
  </si>
  <si>
    <t xml:space="preserve">Fatal electrical accidents — animals</t>
  </si>
  <si>
    <t xml:space="preserve">Non-fatal electrical accidents — animals</t>
  </si>
  <si>
    <t xml:space="preserve">Check</t>
  </si>
  <si>
    <t xml:space="preserve">Result</t>
  </si>
  <si>
    <t xml:space="preserve">Detail</t>
  </si>
  <si>
    <t xml:space="preserve">Main-sheet columns</t>
  </si>
  <si>
    <t xml:space="preserve">Pass</t>
  </si>
  <si>
    <t xml:space="preserve">Exact 13 prescribed columns in the prescribed order, identical headers and column widths to the UGVCL FY 2024-25 reference.</t>
  </si>
  <si>
    <t xml:space="preserve">Indicator naming</t>
  </si>
  <si>
    <t xml:space="preserve">Pass (genuine differences)</t>
  </si>
  <si>
    <t xml:space="preserve">'Distribution transformer failure restoration — share resolved within standard', SAIDI / SAIFI / MAIFI and accident names identical to the reference. Other names follow the reference pattern with Odisha parameter terms (normal fuse-off, line breakdown, scheduled outage, street-light fault); billing-mistake, defective-meter, frequency and voltage-count indicators are new because the Odisha parameters differ. CAIDI not included (not in S1 or S3). 'Non-fatal electrical accidents — animals' added (reported in S3).</t>
  </si>
  <si>
    <t xml:space="preserve">Units and notation</t>
  </si>
  <si>
    <t xml:space="preserve">Percent, minutes and counts as in the reference. Reliability indices are per kW of connected load (S1 connected-load weighting), not per consumer; stated explicitly.</t>
  </si>
  <si>
    <t xml:space="preserve">Precision</t>
  </si>
  <si>
    <t xml:space="preserve">Pass (documented exceptions)</t>
  </si>
  <si>
    <t xml:space="preserve">Annualised percentages one decimal; Reported data at source precision. Exceptions documented in Conventions: faulty-bill share two decimals; reliability indices whole numbers (source precision).</t>
  </si>
  <si>
    <t xml:space="preserve">Field structure and wording</t>
  </si>
  <si>
    <t xml:space="preserve">Reported data 'Within-standard share (FY, annual reporting): ...'; annualised 'FY &lt;metric&gt;: &lt;value&gt;.'; non-comparability and interpretation phrases reused from the reference where the reason is the same.</t>
  </si>
  <si>
    <t xml:space="preserve">Annualisation treatment</t>
  </si>
  <si>
    <t xml:space="preserve">All values annual; no annualisation needed. Combined urban/rural share derived only where it does not depend on case counts.</t>
  </si>
  <si>
    <t xml:space="preserve">Comparison / compliance</t>
  </si>
  <si>
    <t xml:space="preserve">Pass (genuine difference)</t>
  </si>
  <si>
    <t xml:space="preserve">Unlike the reference (no aggregate thresholds), S1 sets aggregate thresholds; 4 rows comparable (all met), 12 rows not comparable (N/A).</t>
  </si>
  <si>
    <t xml:space="preserve">Supporting-sheet layout</t>
  </si>
  <si>
    <t xml:space="preserve">Same seven supporting sheets and column structures as the reference dashboard workbook. Calculations workbook follows the reference sheet pattern; reference sheets for monthly reliability, faulty-meter flows, DT failure, sample tests, losses and enforcement are replaced by sheets matching the Odisha source (no such data). Interyear_Continuity / PriorFY_Row_Check replaced by this sheet (no earlier TPWODL workbook).</t>
  </si>
  <si>
    <t xml:space="preserve">Presentation</t>
  </si>
  <si>
    <t xml:space="preserve">Arial 10; header fill 1F4E78 with white bold text; thin borders; wrap and top alignment; frozen header row; reference column widths.</t>
  </si>
  <si>
    <t xml:space="preserve">Evidence</t>
  </si>
  <si>
    <t xml:space="preserve">Full permitted repository searched</t>
  </si>
  <si>
    <t xml:space="preserve">Repository: S1, S2, S3, the context document and the UGVCL reference workbooks. The connected Google Drive was searched (TPWODL, Western Odisha, Tata Power, OERC / Orissa / Odisha Electricity Regulatory Commission, Standards of Performance, SAIDI / SAIFI, fuse-off, orierc, tpwesternodisha, file names); no relevant documents found.</t>
  </si>
  <si>
    <t xml:space="preserve">Regulatory and reported-performance sources reviewed</t>
  </si>
  <si>
    <t xml:space="preserve">Regulatory: S1 (all 19 pages), S2 (all 3 pages). Reported: S3 (single page, text and rendered image).</t>
  </si>
  <si>
    <t xml:space="preserve">Applicable regulation identified</t>
  </si>
  <si>
    <t xml:space="preserve">S1 as amended by S2; in force throughout FY 2021-22; no repeal or replacement found (recorded in Source_Gaps).</t>
  </si>
  <si>
    <t xml:space="preserve">Amendments checked</t>
  </si>
  <si>
    <t xml:space="preserve">Pass (gap recorded)</t>
  </si>
  <si>
    <t xml:space="preserve">S2 reviewed in full; it does not alter Schedule II standards or formulas. No later amendment found; recorded in Source_Gaps.</t>
  </si>
  <si>
    <t xml:space="preserve">Definitions, units, formulas, reporting basis</t>
  </si>
  <si>
    <t xml:space="preserve">Thresholds from S1 Sch. II; reliability formulas S1 p.15 (connected-load weighting); units from S3 labels and S1 formulas; reporting basis annual (S3).</t>
  </si>
  <si>
    <t xml:space="preserve">Unit check: every quantitative indicator</t>
  </si>
  <si>
    <t xml:space="preserve">Shares %; SAIDI minutes per kW; SAIFI interruptions per kW; MAIFI momentary interruptions per kW; frequency excursions count of hourly measurements; voltage cases count; accidents count. No unit left blank.</t>
  </si>
  <si>
    <t xml:space="preserve">Annualisation-method check</t>
  </si>
  <si>
    <t xml:space="preserve">All values annual; no summing, averaging, multiplication or extrapolation. Combined urban/rural shares derived only because both area shares are 100.00% (Restoration_Shares).</t>
  </si>
  <si>
    <t xml:space="preserve">Detailed-figures check (Reported data and Annualised fields)</t>
  </si>
  <si>
    <t xml:space="preserve">Automated scan of 16 rows: no counts, numerators, denominators, balances, prior-year values or inputs.</t>
  </si>
  <si>
    <t xml:space="preserve">Comparison possible? / Standard met? logic</t>
  </si>
  <si>
    <t xml:space="preserve">16 of 16 rows consistent: 12 rows No / N/A; 4 rows Yes / Yes (fuse-off, distribution transformer, faulty bills, defective meters), each assessed on the original S1 basis.</t>
  </si>
  <si>
    <t xml:space="preserve">Standards not transformed</t>
  </si>
  <si>
    <t xml:space="preserve">Standards stated as aggregate shares or limits exactly as in S1; no annualising, scaling or conversion.</t>
  </si>
  <si>
    <t xml:space="preserve">Main sheet columns and public-facing language</t>
  </si>
  <si>
    <t xml:space="preserve">Exact 13 prescribed columns; internal-process phrase scan clean.</t>
  </si>
  <si>
    <t xml:space="preserve">Dashboard transfer reconciliation</t>
  </si>
  <si>
    <t xml:space="preserve">Annualised text in Dashboard_Transfer (formula-built) matches the main sheet for all 16 rows (automated check after recalculation).</t>
  </si>
  <si>
    <t xml:space="preserve">Reconciliations and flags</t>
  </si>
  <si>
    <t xml:space="preserve">Pass (flags documented)</t>
  </si>
  <si>
    <t xml:space="preserve">Threshold check S1 = S3 targets: OK for all restoration rows. Values equal to thresholds, clock-start differences and the Sch. II 1.1 cross-reference are documented in Data_Quality_Flags.</t>
  </si>
</sst>
</file>

<file path=xl/styles.xml><?xml version="1.0" encoding="utf-8"?>
<styleSheet xmlns="http://schemas.openxmlformats.org/spreadsheetml/2006/main">
  <numFmts count="5">
    <numFmt numFmtId="164" formatCode="General"/>
    <numFmt numFmtId="165" formatCode="#,##0.00"/>
    <numFmt numFmtId="166" formatCode="0.00"/>
    <numFmt numFmtId="167" formatCode="#,##0"/>
    <numFmt numFmtId="168"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sz val="10"/>
      <color rgb="FF0000FF"/>
      <name val="Arial"/>
      <family val="0"/>
      <charset val="1"/>
    </font>
    <font>
      <sz val="10"/>
      <color rgb="FF008000"/>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7" fontId="7"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5" hidden="false" customHeight="false" outlineLevel="0" collapsed="false">
      <c r="A1" s="1" t="s">
        <v>0</v>
      </c>
      <c r="B1" s="1" t="s">
        <v>1</v>
      </c>
    </row>
    <row r="2" customFormat="false" ht="35.05" hidden="false" customHeight="false" outlineLevel="0" collapsed="false">
      <c r="A2" s="2" t="s">
        <v>2</v>
      </c>
      <c r="B2" s="2" t="s">
        <v>3</v>
      </c>
    </row>
    <row r="3" customFormat="false" ht="15" hidden="false" customHeight="false" outlineLevel="0" collapsed="false">
      <c r="A3" s="2" t="s">
        <v>4</v>
      </c>
      <c r="B3" s="2" t="s">
        <v>5</v>
      </c>
    </row>
    <row r="4" customFormat="false" ht="35.05" hidden="false" customHeight="false" outlineLevel="0" collapsed="false">
      <c r="A4" s="2" t="s">
        <v>6</v>
      </c>
      <c r="B4" s="2" t="s">
        <v>7</v>
      </c>
    </row>
    <row r="5" customFormat="false" ht="46.25" hidden="false" customHeight="false" outlineLevel="0" collapsed="false">
      <c r="A5" s="2" t="s">
        <v>8</v>
      </c>
      <c r="B5" s="2" t="s">
        <v>9</v>
      </c>
    </row>
    <row r="6" customFormat="false" ht="23.85" hidden="false" customHeight="false" outlineLevel="0" collapsed="false">
      <c r="A6" s="2" t="s">
        <v>10</v>
      </c>
      <c r="B6" s="2" t="s">
        <v>11</v>
      </c>
    </row>
    <row r="7" customFormat="false" ht="35.05" hidden="false" customHeight="false" outlineLevel="0" collapsed="false">
      <c r="A7" s="2" t="s">
        <v>12</v>
      </c>
      <c r="B7" s="2" t="s">
        <v>13</v>
      </c>
    </row>
    <row r="8" customFormat="false" ht="15" hidden="false" customHeight="false" outlineLevel="0" collapsed="false">
      <c r="A8" s="2" t="s">
        <v>14</v>
      </c>
      <c r="B8" s="2" t="s">
        <v>15</v>
      </c>
    </row>
    <row r="9" customFormat="false" ht="23.85" hidden="false" customHeight="false" outlineLevel="0" collapsed="false">
      <c r="A9" s="2" t="s">
        <v>16</v>
      </c>
      <c r="B9" s="2" t="s">
        <v>17</v>
      </c>
    </row>
    <row r="10" customFormat="false" ht="23.85" hidden="false" customHeight="false" outlineLevel="0" collapsed="false">
      <c r="A10" s="2" t="s">
        <v>18</v>
      </c>
      <c r="B10" s="2" t="s">
        <v>19</v>
      </c>
    </row>
    <row r="11" customFormat="false" ht="23.85" hidden="false" customHeight="false" outlineLevel="0" collapsed="false">
      <c r="A11" s="2" t="s">
        <v>20</v>
      </c>
      <c r="B11" s="2"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60"/>
    <col collapsed="false" customWidth="true" hidden="false" outlineLevel="0" max="3" min="3" style="0" width="8"/>
    <col collapsed="false" customWidth="true" hidden="false" outlineLevel="0" max="4" min="4" style="0" width="16"/>
    <col collapsed="false" customWidth="true" hidden="false" outlineLevel="0" max="5" min="5" style="0" width="11"/>
    <col collapsed="false" customWidth="true" hidden="false" outlineLevel="0" max="6" min="6" style="0" width="16"/>
    <col collapsed="false" customWidth="true" hidden="false" outlineLevel="0" max="7" min="7" style="0" width="12"/>
    <col collapsed="false" customWidth="true" hidden="false" outlineLevel="0" max="8" min="8" style="0" width="14"/>
    <col collapsed="false" customWidth="true" hidden="false" outlineLevel="0" max="9" min="9" style="0" width="40"/>
  </cols>
  <sheetData>
    <row r="1" customFormat="false" ht="46.25" hidden="false" customHeight="false" outlineLevel="0" collapsed="false">
      <c r="A1" s="1" t="s">
        <v>22</v>
      </c>
      <c r="B1" s="1" t="s">
        <v>23</v>
      </c>
      <c r="C1" s="1" t="s">
        <v>24</v>
      </c>
      <c r="D1" s="1" t="s">
        <v>25</v>
      </c>
      <c r="E1" s="1" t="s">
        <v>26</v>
      </c>
      <c r="F1" s="1" t="s">
        <v>27</v>
      </c>
      <c r="G1" s="1" t="s">
        <v>28</v>
      </c>
      <c r="H1" s="1" t="s">
        <v>29</v>
      </c>
      <c r="I1" s="1" t="s">
        <v>30</v>
      </c>
    </row>
    <row r="2" customFormat="false" ht="23.85" hidden="false" customHeight="false" outlineLevel="0" collapsed="false">
      <c r="A2" s="2" t="s">
        <v>31</v>
      </c>
      <c r="B2" s="3" t="s">
        <v>32</v>
      </c>
      <c r="C2" s="3" t="s">
        <v>33</v>
      </c>
      <c r="D2" s="3" t="s">
        <v>34</v>
      </c>
      <c r="E2" s="3" t="n">
        <v>90</v>
      </c>
      <c r="F2" s="3" t="s">
        <v>35</v>
      </c>
      <c r="G2" s="4" t="n">
        <v>100</v>
      </c>
      <c r="H2" s="3" t="s">
        <v>36</v>
      </c>
      <c r="I2" s="2" t="s">
        <v>37</v>
      </c>
    </row>
    <row r="3" customFormat="false" ht="23.85" hidden="false" customHeight="false" outlineLevel="0" collapsed="false">
      <c r="A3" s="2" t="s">
        <v>38</v>
      </c>
      <c r="B3" s="3" t="s">
        <v>39</v>
      </c>
      <c r="C3" s="3" t="s">
        <v>40</v>
      </c>
      <c r="D3" s="3" t="s">
        <v>34</v>
      </c>
      <c r="E3" s="3" t="n">
        <v>90</v>
      </c>
      <c r="F3" s="3" t="s">
        <v>35</v>
      </c>
      <c r="G3" s="4" t="n">
        <v>100</v>
      </c>
      <c r="H3" s="3" t="s">
        <v>36</v>
      </c>
      <c r="I3" s="2" t="s">
        <v>37</v>
      </c>
    </row>
    <row r="4" customFormat="false" ht="23.85" hidden="false" customHeight="false" outlineLevel="0" collapsed="false">
      <c r="A4" s="2" t="s">
        <v>41</v>
      </c>
      <c r="B4" s="3" t="s">
        <v>42</v>
      </c>
      <c r="C4" s="3" t="s">
        <v>33</v>
      </c>
      <c r="D4" s="3" t="s">
        <v>43</v>
      </c>
      <c r="E4" s="3" t="n">
        <v>95</v>
      </c>
      <c r="F4" s="3" t="s">
        <v>35</v>
      </c>
      <c r="G4" s="4" t="n">
        <v>100</v>
      </c>
      <c r="H4" s="3" t="s">
        <v>36</v>
      </c>
      <c r="I4" s="2" t="s">
        <v>37</v>
      </c>
    </row>
    <row r="5" customFormat="false" ht="23.85" hidden="false" customHeight="false" outlineLevel="0" collapsed="false">
      <c r="A5" s="2" t="s">
        <v>44</v>
      </c>
      <c r="B5" s="3" t="s">
        <v>45</v>
      </c>
      <c r="C5" s="3" t="s">
        <v>40</v>
      </c>
      <c r="D5" s="3" t="s">
        <v>43</v>
      </c>
      <c r="E5" s="3" t="n">
        <v>95</v>
      </c>
      <c r="F5" s="3" t="s">
        <v>35</v>
      </c>
      <c r="G5" s="4" t="n">
        <v>100</v>
      </c>
      <c r="H5" s="3" t="s">
        <v>36</v>
      </c>
      <c r="I5" s="2" t="s">
        <v>37</v>
      </c>
    </row>
    <row r="6" customFormat="false" ht="23.85" hidden="false" customHeight="false" outlineLevel="0" collapsed="false">
      <c r="A6" s="2" t="s">
        <v>46</v>
      </c>
      <c r="B6" s="3" t="s">
        <v>47</v>
      </c>
      <c r="C6" s="3" t="s">
        <v>33</v>
      </c>
      <c r="D6" s="3" t="s">
        <v>43</v>
      </c>
      <c r="E6" s="3" t="n">
        <v>95</v>
      </c>
      <c r="F6" s="3" t="s">
        <v>35</v>
      </c>
      <c r="G6" s="4" t="n">
        <v>100</v>
      </c>
      <c r="H6" s="3" t="s">
        <v>36</v>
      </c>
      <c r="I6" s="2" t="s">
        <v>37</v>
      </c>
    </row>
    <row r="7" customFormat="false" ht="23.85" hidden="false" customHeight="false" outlineLevel="0" collapsed="false">
      <c r="A7" s="2" t="s">
        <v>48</v>
      </c>
      <c r="B7" s="3" t="s">
        <v>49</v>
      </c>
      <c r="C7" s="3" t="s">
        <v>40</v>
      </c>
      <c r="D7" s="3" t="s">
        <v>43</v>
      </c>
      <c r="E7" s="3" t="n">
        <v>95</v>
      </c>
      <c r="F7" s="3" t="s">
        <v>35</v>
      </c>
      <c r="G7" s="4" t="n">
        <v>100</v>
      </c>
      <c r="H7" s="3" t="s">
        <v>36</v>
      </c>
      <c r="I7" s="2" t="s">
        <v>37</v>
      </c>
    </row>
    <row r="8" customFormat="false" ht="23.85" hidden="false" customHeight="false" outlineLevel="0" collapsed="false">
      <c r="A8" s="2" t="s">
        <v>50</v>
      </c>
      <c r="B8" s="3" t="s">
        <v>51</v>
      </c>
      <c r="C8" s="3" t="s">
        <v>52</v>
      </c>
      <c r="D8" s="3" t="s">
        <v>34</v>
      </c>
      <c r="E8" s="3" t="n">
        <v>90</v>
      </c>
      <c r="F8" s="3" t="s">
        <v>53</v>
      </c>
      <c r="G8" s="4"/>
      <c r="H8" s="3" t="s">
        <v>36</v>
      </c>
      <c r="I8" s="2" t="s">
        <v>37</v>
      </c>
    </row>
    <row r="9" customFormat="false" ht="23.85" hidden="false" customHeight="false" outlineLevel="0" collapsed="false">
      <c r="A9" s="2" t="s">
        <v>54</v>
      </c>
      <c r="B9" s="3" t="s">
        <v>55</v>
      </c>
      <c r="C9" s="3" t="s">
        <v>52</v>
      </c>
      <c r="D9" s="3" t="s">
        <v>53</v>
      </c>
      <c r="E9" s="3"/>
      <c r="F9" s="3" t="s">
        <v>53</v>
      </c>
      <c r="G9" s="4"/>
      <c r="H9" s="3" t="s">
        <v>56</v>
      </c>
      <c r="I9" s="2" t="s">
        <v>37</v>
      </c>
    </row>
    <row r="10" customFormat="false" ht="23.85" hidden="false" customHeight="false" outlineLevel="0" collapsed="false">
      <c r="A10" s="2" t="s">
        <v>57</v>
      </c>
      <c r="B10" s="3" t="s">
        <v>58</v>
      </c>
      <c r="C10" s="3" t="s">
        <v>59</v>
      </c>
      <c r="D10" s="3" t="s">
        <v>60</v>
      </c>
      <c r="E10" s="3"/>
      <c r="F10" s="3" t="s">
        <v>53</v>
      </c>
      <c r="G10" s="4"/>
      <c r="H10" s="3" t="s">
        <v>56</v>
      </c>
      <c r="I10" s="2" t="s">
        <v>37</v>
      </c>
    </row>
    <row r="11" customFormat="false" ht="23.85" hidden="false" customHeight="false" outlineLevel="0" collapsed="false">
      <c r="A11" s="2" t="s">
        <v>61</v>
      </c>
      <c r="B11" s="3" t="s">
        <v>62</v>
      </c>
      <c r="C11" s="3" t="s">
        <v>63</v>
      </c>
      <c r="D11" s="3" t="s">
        <v>60</v>
      </c>
      <c r="E11" s="3"/>
      <c r="F11" s="3" t="s">
        <v>53</v>
      </c>
      <c r="G11" s="4"/>
      <c r="H11" s="3" t="s">
        <v>56</v>
      </c>
      <c r="I11" s="2" t="s">
        <v>37</v>
      </c>
    </row>
    <row r="12" customFormat="false" ht="23.85" hidden="false" customHeight="false" outlineLevel="0" collapsed="false">
      <c r="A12" s="2" t="s">
        <v>64</v>
      </c>
      <c r="B12" s="3" t="s">
        <v>65</v>
      </c>
      <c r="C12" s="3" t="s">
        <v>66</v>
      </c>
      <c r="D12" s="3" t="s">
        <v>60</v>
      </c>
      <c r="E12" s="3"/>
      <c r="F12" s="3" t="s">
        <v>53</v>
      </c>
      <c r="G12" s="4"/>
      <c r="H12" s="3" t="s">
        <v>56</v>
      </c>
      <c r="I12" s="2" t="s">
        <v>37</v>
      </c>
    </row>
    <row r="13" customFormat="false" ht="23.85" hidden="false" customHeight="false" outlineLevel="0" collapsed="false">
      <c r="A13" s="2" t="s">
        <v>67</v>
      </c>
      <c r="B13" s="3" t="s">
        <v>68</v>
      </c>
      <c r="C13" s="3" t="s">
        <v>52</v>
      </c>
      <c r="D13" s="3" t="s">
        <v>34</v>
      </c>
      <c r="E13" s="3" t="n">
        <v>90</v>
      </c>
      <c r="F13" s="3" t="s">
        <v>34</v>
      </c>
      <c r="G13" s="4" t="n">
        <v>90</v>
      </c>
      <c r="H13" s="3" t="s">
        <v>36</v>
      </c>
      <c r="I13" s="2" t="s">
        <v>37</v>
      </c>
    </row>
    <row r="14" customFormat="false" ht="23.85" hidden="false" customHeight="false" outlineLevel="0" collapsed="false">
      <c r="A14" s="2" t="s">
        <v>69</v>
      </c>
      <c r="B14" s="3" t="s">
        <v>70</v>
      </c>
      <c r="C14" s="3" t="s">
        <v>52</v>
      </c>
      <c r="D14" s="3" t="s">
        <v>71</v>
      </c>
      <c r="E14" s="3" t="n">
        <v>0.1</v>
      </c>
      <c r="F14" s="3" t="s">
        <v>72</v>
      </c>
      <c r="G14" s="4" t="n">
        <v>0.1</v>
      </c>
      <c r="H14" s="3" t="s">
        <v>36</v>
      </c>
      <c r="I14" s="2" t="s">
        <v>37</v>
      </c>
    </row>
    <row r="15" customFormat="false" ht="23.85" hidden="false" customHeight="false" outlineLevel="0" collapsed="false">
      <c r="A15" s="2" t="s">
        <v>73</v>
      </c>
      <c r="B15" s="3" t="s">
        <v>74</v>
      </c>
      <c r="C15" s="3" t="s">
        <v>52</v>
      </c>
      <c r="D15" s="3" t="s">
        <v>75</v>
      </c>
      <c r="E15" s="3" t="n">
        <v>5</v>
      </c>
      <c r="F15" s="3" t="s">
        <v>75</v>
      </c>
      <c r="G15" s="4" t="n">
        <v>5</v>
      </c>
      <c r="H15" s="3" t="s">
        <v>36</v>
      </c>
      <c r="I15" s="2" t="s">
        <v>37</v>
      </c>
    </row>
    <row r="16" customFormat="false" ht="23.85" hidden="false" customHeight="false" outlineLevel="0" collapsed="false">
      <c r="A16" s="2" t="s">
        <v>76</v>
      </c>
      <c r="B16" s="3" t="s">
        <v>77</v>
      </c>
      <c r="C16" s="3" t="s">
        <v>52</v>
      </c>
      <c r="D16" s="3" t="s">
        <v>60</v>
      </c>
      <c r="E16" s="3"/>
      <c r="F16" s="3" t="s">
        <v>78</v>
      </c>
      <c r="G16" s="4" t="n">
        <v>600</v>
      </c>
      <c r="H16" s="3" t="s">
        <v>79</v>
      </c>
      <c r="I16" s="2" t="s">
        <v>37</v>
      </c>
    </row>
    <row r="17" customFormat="false" ht="23.85" hidden="false" customHeight="false" outlineLevel="0" collapsed="false">
      <c r="A17" s="2" t="s">
        <v>80</v>
      </c>
      <c r="B17" s="3" t="s">
        <v>81</v>
      </c>
      <c r="C17" s="3" t="s">
        <v>52</v>
      </c>
      <c r="D17" s="3" t="s">
        <v>60</v>
      </c>
      <c r="E17" s="3"/>
      <c r="F17" s="3" t="s">
        <v>82</v>
      </c>
      <c r="G17" s="4" t="n">
        <v>66</v>
      </c>
      <c r="H17" s="3" t="s">
        <v>79</v>
      </c>
      <c r="I17" s="2" t="s">
        <v>37</v>
      </c>
    </row>
    <row r="18" customFormat="false" ht="23.85" hidden="false" customHeight="false" outlineLevel="0" collapsed="false">
      <c r="A18" s="2" t="s">
        <v>83</v>
      </c>
      <c r="B18" s="3" t="s">
        <v>84</v>
      </c>
      <c r="C18" s="3" t="s">
        <v>52</v>
      </c>
      <c r="D18" s="3" t="s">
        <v>60</v>
      </c>
      <c r="E18" s="3"/>
      <c r="F18" s="3" t="s">
        <v>85</v>
      </c>
      <c r="G18" s="4" t="n">
        <v>25441</v>
      </c>
      <c r="H18" s="3" t="s">
        <v>86</v>
      </c>
      <c r="I18" s="2"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0"/>
    <col collapsed="false" customWidth="true" hidden="false" outlineLevel="0" max="6" min="6" style="0" width="12"/>
    <col collapsed="false" customWidth="true" hidden="false" outlineLevel="0" max="8" min="7" style="0" width="11"/>
    <col collapsed="false" customWidth="true" hidden="false" outlineLevel="0" max="9" min="9" style="0" width="10"/>
    <col collapsed="false" customWidth="true" hidden="false" outlineLevel="0" max="11" min="10" style="0" width="12"/>
    <col collapsed="false" customWidth="true" hidden="false" outlineLevel="0" max="12" min="12" style="0" width="16"/>
    <col collapsed="false" customWidth="true" hidden="false" outlineLevel="0" max="13" min="13" style="0" width="50"/>
  </cols>
  <sheetData>
    <row r="1" customFormat="false" ht="46.25" hidden="false" customHeight="false" outlineLevel="0" collapsed="false">
      <c r="A1" s="1" t="s">
        <v>87</v>
      </c>
      <c r="B1" s="1" t="s">
        <v>88</v>
      </c>
      <c r="C1" s="1" t="s">
        <v>89</v>
      </c>
      <c r="D1" s="1" t="s">
        <v>90</v>
      </c>
      <c r="E1" s="1" t="s">
        <v>91</v>
      </c>
      <c r="F1" s="1" t="s">
        <v>92</v>
      </c>
      <c r="G1" s="1" t="s">
        <v>93</v>
      </c>
      <c r="H1" s="1" t="s">
        <v>94</v>
      </c>
      <c r="I1" s="1" t="s">
        <v>95</v>
      </c>
      <c r="J1" s="1" t="s">
        <v>96</v>
      </c>
      <c r="K1" s="1" t="s">
        <v>97</v>
      </c>
      <c r="L1" s="1" t="s">
        <v>98</v>
      </c>
      <c r="M1" s="1" t="s">
        <v>99</v>
      </c>
    </row>
    <row r="2" customFormat="false" ht="23.85" hidden="false" customHeight="false" outlineLevel="0" collapsed="false">
      <c r="A2" s="2" t="s">
        <v>100</v>
      </c>
      <c r="B2" s="5" t="n">
        <f aca="false">OSoP_Reported!G2</f>
        <v>100</v>
      </c>
      <c r="C2" s="5" t="n">
        <f aca="false">OSoP_Reported!G3</f>
        <v>100</v>
      </c>
      <c r="D2" s="6" t="n">
        <f aca="false">MIN(B2,C2)</f>
        <v>100</v>
      </c>
      <c r="E2" s="6" t="n">
        <f aca="false">MAX(B2,C2)</f>
        <v>100</v>
      </c>
      <c r="F2" s="6" t="n">
        <f aca="false">IF(D2=E2,D2,"Not derivable without case counts")</f>
        <v>100</v>
      </c>
      <c r="G2" s="7" t="n">
        <v>90</v>
      </c>
      <c r="H2" s="5" t="n">
        <f aca="false">OSoP_Reported!E2</f>
        <v>90</v>
      </c>
      <c r="I2" s="2" t="str">
        <f aca="false">IF(AND(G2=H2,OSoP_Reported!E2=OSoP_Reported!E3),"OK","FLAG")</f>
        <v>OK</v>
      </c>
      <c r="J2" s="3" t="s">
        <v>101</v>
      </c>
      <c r="K2" s="2" t="str">
        <f aca="false">IF(J2&lt;&gt;"Yes","N/A",IF(D2&gt;=G2,"Yes",IF(E2&lt;G2,"No","Not determinable")))</f>
        <v>Yes</v>
      </c>
      <c r="L2" s="2" t="str">
        <f aca="false">IF(AND(B2&gt;=H2,C2&gt;=H2),"Both areas at or above target","At least one area below target")</f>
        <v>Both areas at or above target</v>
      </c>
      <c r="M2" s="2" t="s">
        <v>102</v>
      </c>
    </row>
    <row r="3" customFormat="false" ht="35.05" hidden="false" customHeight="false" outlineLevel="0" collapsed="false">
      <c r="A3" s="2" t="s">
        <v>103</v>
      </c>
      <c r="B3" s="5" t="n">
        <f aca="false">OSoP_Reported!G4</f>
        <v>100</v>
      </c>
      <c r="C3" s="5" t="n">
        <f aca="false">OSoP_Reported!G5</f>
        <v>100</v>
      </c>
      <c r="D3" s="6" t="n">
        <f aca="false">MIN(B3,C3)</f>
        <v>100</v>
      </c>
      <c r="E3" s="6" t="n">
        <f aca="false">MAX(B3,C3)</f>
        <v>100</v>
      </c>
      <c r="F3" s="6" t="n">
        <f aca="false">IF(D3=E3,D3,"Not derivable without case counts")</f>
        <v>100</v>
      </c>
      <c r="G3" s="7" t="n">
        <v>95</v>
      </c>
      <c r="H3" s="5" t="n">
        <f aca="false">OSoP_Reported!E4</f>
        <v>95</v>
      </c>
      <c r="I3" s="2" t="str">
        <f aca="false">IF(AND(G3=H3,OSoP_Reported!E4=OSoP_Reported!E5),"OK","FLAG")</f>
        <v>OK</v>
      </c>
      <c r="J3" s="3" t="s">
        <v>104</v>
      </c>
      <c r="K3" s="2" t="str">
        <f aca="false">IF(J3&lt;&gt;"Yes","N/A",IF(D3&gt;=G3,"Yes",IF(E3&lt;G3,"No","Not determinable")))</f>
        <v>N/A</v>
      </c>
      <c r="L3" s="2" t="str">
        <f aca="false">IF(AND(B3&gt;=H3,C3&gt;=H3),"Both areas at or above target","At least one area below target")</f>
        <v>Both areas at or above target</v>
      </c>
      <c r="M3" s="2" t="s">
        <v>105</v>
      </c>
    </row>
    <row r="4" customFormat="false" ht="23.85" hidden="false" customHeight="false" outlineLevel="0" collapsed="false">
      <c r="A4" s="2" t="s">
        <v>106</v>
      </c>
      <c r="B4" s="5" t="n">
        <f aca="false">OSoP_Reported!G6</f>
        <v>100</v>
      </c>
      <c r="C4" s="5" t="n">
        <f aca="false">OSoP_Reported!G7</f>
        <v>100</v>
      </c>
      <c r="D4" s="6" t="n">
        <f aca="false">MIN(B4,C4)</f>
        <v>100</v>
      </c>
      <c r="E4" s="6" t="n">
        <f aca="false">MAX(B4,C4)</f>
        <v>100</v>
      </c>
      <c r="F4" s="6" t="n">
        <f aca="false">IF(D4=E4,D4,"Not derivable without case counts")</f>
        <v>100</v>
      </c>
      <c r="G4" s="7" t="n">
        <v>95</v>
      </c>
      <c r="H4" s="5" t="n">
        <f aca="false">OSoP_Reported!E6</f>
        <v>95</v>
      </c>
      <c r="I4" s="2" t="str">
        <f aca="false">IF(AND(G4=H4,OSoP_Reported!E6=OSoP_Reported!E7),"OK","FLAG")</f>
        <v>OK</v>
      </c>
      <c r="J4" s="3" t="s">
        <v>101</v>
      </c>
      <c r="K4" s="2" t="str">
        <f aca="false">IF(J4&lt;&gt;"Yes","N/A",IF(D4&gt;=G4,"Yes",IF(E4&lt;G4,"No","Not determinable")))</f>
        <v>Yes</v>
      </c>
      <c r="L4" s="2" t="str">
        <f aca="false">IF(AND(B4&gt;=H4,C4&gt;=H4),"Both areas at or above target","At least one area below target")</f>
        <v>Both areas at or above target</v>
      </c>
      <c r="M4" s="2"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4" min="3" style="0" width="12"/>
    <col collapsed="false" customWidth="true" hidden="false" outlineLevel="0" max="6" min="5" style="0" width="13"/>
    <col collapsed="false" customWidth="true" hidden="false" outlineLevel="0" max="7" min="7" style="0" width="12"/>
    <col collapsed="false" customWidth="true" hidden="false" outlineLevel="0" max="8" min="8" style="0" width="60"/>
  </cols>
  <sheetData>
    <row r="1" customFormat="false" ht="46.25" hidden="false" customHeight="false" outlineLevel="0" collapsed="false">
      <c r="A1" s="1" t="s">
        <v>87</v>
      </c>
      <c r="B1" s="1" t="s">
        <v>108</v>
      </c>
      <c r="C1" s="1" t="s">
        <v>93</v>
      </c>
      <c r="D1" s="1" t="s">
        <v>109</v>
      </c>
      <c r="E1" s="1" t="s">
        <v>96</v>
      </c>
      <c r="F1" s="1" t="s">
        <v>110</v>
      </c>
      <c r="G1" s="1" t="s">
        <v>111</v>
      </c>
      <c r="H1" s="1" t="s">
        <v>99</v>
      </c>
    </row>
    <row r="2" customFormat="false" ht="23.85" hidden="false" customHeight="false" outlineLevel="0" collapsed="false">
      <c r="A2" s="2" t="s">
        <v>112</v>
      </c>
      <c r="B2" s="5" t="n">
        <f aca="false">OSoP_Reported!G13</f>
        <v>90</v>
      </c>
      <c r="C2" s="7" t="n">
        <v>90</v>
      </c>
      <c r="D2" s="2" t="s">
        <v>113</v>
      </c>
      <c r="E2" s="3" t="s">
        <v>104</v>
      </c>
      <c r="F2" s="2" t="str">
        <f aca="false">IF(E2&lt;&gt;"Yes","N/A",IF(D2="At least",IF(B2&gt;=C2,"Yes","No"),IF(B2&lt;=C2,"Yes","No")))</f>
        <v>N/A</v>
      </c>
      <c r="G2" s="6" t="n">
        <f aca="false">IF(D2="At least",B2-C2,C2-B2)</f>
        <v>0</v>
      </c>
      <c r="H2" s="2" t="s">
        <v>114</v>
      </c>
    </row>
    <row r="3" customFormat="false" ht="15" hidden="false" customHeight="false" outlineLevel="0" collapsed="false">
      <c r="A3" s="2" t="s">
        <v>115</v>
      </c>
      <c r="B3" s="5" t="n">
        <f aca="false">OSoP_Reported!G14</f>
        <v>0.1</v>
      </c>
      <c r="C3" s="7" t="n">
        <v>0.1</v>
      </c>
      <c r="D3" s="2" t="s">
        <v>116</v>
      </c>
      <c r="E3" s="3" t="s">
        <v>101</v>
      </c>
      <c r="F3" s="2" t="str">
        <f aca="false">IF(E3&lt;&gt;"Yes","N/A",IF(D3="At least",IF(B3&gt;=C3,"Yes","No"),IF(B3&lt;=C3,"Yes","No")))</f>
        <v>Yes</v>
      </c>
      <c r="G3" s="6" t="n">
        <f aca="false">IF(D3="At least",B3-C3,C3-B3)</f>
        <v>0</v>
      </c>
      <c r="H3" s="2" t="s">
        <v>117</v>
      </c>
    </row>
    <row r="4" customFormat="false" ht="15" hidden="false" customHeight="false" outlineLevel="0" collapsed="false">
      <c r="A4" s="2" t="s">
        <v>118</v>
      </c>
      <c r="B4" s="5" t="n">
        <f aca="false">OSoP_Reported!G15</f>
        <v>5</v>
      </c>
      <c r="C4" s="7" t="n">
        <v>5</v>
      </c>
      <c r="D4" s="2" t="s">
        <v>116</v>
      </c>
      <c r="E4" s="3" t="s">
        <v>101</v>
      </c>
      <c r="F4" s="2" t="str">
        <f aca="false">IF(E4&lt;&gt;"Yes","N/A",IF(D4="At least",IF(B4&gt;=C4,"Yes","No"),IF(B4&lt;=C4,"Yes","No")))</f>
        <v>Yes</v>
      </c>
      <c r="G4" s="6" t="n">
        <f aca="false">IF(D4="At least",B4-C4,C4-B4)</f>
        <v>0</v>
      </c>
      <c r="H4" s="2" t="s">
        <v>119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4"/>
    <col collapsed="false" customWidth="true" hidden="false" outlineLevel="0" max="3" min="3" style="0" width="30"/>
    <col collapsed="false" customWidth="true" hidden="false" outlineLevel="0" max="4" min="4" style="0" width="44"/>
    <col collapsed="false" customWidth="true" hidden="false" outlineLevel="0" max="5" min="5" style="0" width="22"/>
    <col collapsed="false" customWidth="true" hidden="false" outlineLevel="0" max="6" min="6" style="0" width="50"/>
  </cols>
  <sheetData>
    <row r="1" customFormat="false" ht="23.85" hidden="false" customHeight="false" outlineLevel="0" collapsed="false">
      <c r="A1" s="1" t="s">
        <v>120</v>
      </c>
      <c r="B1" s="1" t="s">
        <v>121</v>
      </c>
      <c r="C1" s="1" t="s">
        <v>122</v>
      </c>
      <c r="D1" s="1" t="s">
        <v>123</v>
      </c>
      <c r="E1" s="1" t="s">
        <v>124</v>
      </c>
      <c r="F1" s="1" t="s">
        <v>125</v>
      </c>
    </row>
    <row r="2" customFormat="false" ht="15" hidden="false" customHeight="false" outlineLevel="0" collapsed="false">
      <c r="A2" s="2" t="s">
        <v>126</v>
      </c>
      <c r="B2" s="8" t="n">
        <f aca="false">OSoP_Reported!G18</f>
        <v>25441</v>
      </c>
      <c r="C2" s="2" t="s">
        <v>127</v>
      </c>
      <c r="D2" s="2" t="s">
        <v>128</v>
      </c>
      <c r="E2" s="2" t="s">
        <v>129</v>
      </c>
      <c r="F2" s="2" t="s">
        <v>130</v>
      </c>
    </row>
    <row r="3" customFormat="false" ht="23.85" hidden="false" customHeight="false" outlineLevel="0" collapsed="false">
      <c r="A3" s="2" t="s">
        <v>131</v>
      </c>
      <c r="B3" s="8" t="n">
        <f aca="false">OSoP_Reported!G16</f>
        <v>600</v>
      </c>
      <c r="C3" s="2" t="s">
        <v>132</v>
      </c>
      <c r="D3" s="2" t="s">
        <v>133</v>
      </c>
      <c r="E3" s="2" t="s">
        <v>134</v>
      </c>
      <c r="F3" s="2" t="s">
        <v>130</v>
      </c>
    </row>
    <row r="4" customFormat="false" ht="23.85" hidden="false" customHeight="false" outlineLevel="0" collapsed="false">
      <c r="A4" s="2" t="s">
        <v>135</v>
      </c>
      <c r="B4" s="8" t="n">
        <f aca="false">OSoP_Reported!G17</f>
        <v>66</v>
      </c>
      <c r="C4" s="2" t="s">
        <v>136</v>
      </c>
      <c r="D4" s="2" t="s">
        <v>137</v>
      </c>
      <c r="E4" s="2" t="s">
        <v>138</v>
      </c>
      <c r="F4" s="2" t="s">
        <v>130</v>
      </c>
    </row>
    <row r="5" customFormat="false" ht="15" hidden="false" customHeight="false" outlineLevel="0" collapsed="false">
      <c r="A5" s="2" t="s">
        <v>139</v>
      </c>
      <c r="B5" s="9" t="n">
        <f aca="false">B2/60</f>
        <v>424.016666666667</v>
      </c>
      <c r="C5" s="2" t="s">
        <v>140</v>
      </c>
      <c r="D5" s="2" t="s">
        <v>141</v>
      </c>
      <c r="E5" s="2" t="s">
        <v>142</v>
      </c>
      <c r="F5" s="2" t="s">
        <v>143</v>
      </c>
    </row>
    <row r="6" customFormat="false" ht="23.85" hidden="false" customHeight="false" outlineLevel="0" collapsed="false">
      <c r="A6" s="2" t="s">
        <v>144</v>
      </c>
      <c r="B6" s="9" t="n">
        <f aca="false">B2/B3</f>
        <v>42.4016666666667</v>
      </c>
      <c r="C6" s="2" t="s">
        <v>145</v>
      </c>
      <c r="D6" s="2" t="s">
        <v>146</v>
      </c>
      <c r="E6" s="2" t="s">
        <v>142</v>
      </c>
      <c r="F6" s="2" t="s">
        <v>147</v>
      </c>
    </row>
    <row r="7" customFormat="false" ht="15" hidden="false" customHeight="false" outlineLevel="0" collapsed="false">
      <c r="A7" s="2" t="s">
        <v>148</v>
      </c>
      <c r="B7" s="9" t="n">
        <f aca="false">B4/B3</f>
        <v>0.11</v>
      </c>
      <c r="C7" s="2" t="s">
        <v>149</v>
      </c>
      <c r="D7" s="2" t="s">
        <v>146</v>
      </c>
      <c r="E7" s="2" t="s">
        <v>142</v>
      </c>
      <c r="F7" s="2"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10"/>
    <col collapsed="false" customWidth="true" hidden="false" outlineLevel="0" max="4" min="4" style="0" width="12"/>
    <col collapsed="false" customWidth="true" hidden="false" outlineLevel="0" max="5" min="5" style="0" width="10"/>
    <col collapsed="false" customWidth="true" hidden="false" outlineLevel="0" max="6" min="6" style="0" width="14"/>
    <col collapsed="false" customWidth="true" hidden="false" outlineLevel="0" max="7" min="7" style="0" width="60"/>
  </cols>
  <sheetData>
    <row r="1" customFormat="false" ht="35.05" hidden="false" customHeight="false" outlineLevel="0" collapsed="false">
      <c r="A1" s="1" t="s">
        <v>151</v>
      </c>
      <c r="B1" s="1" t="s">
        <v>152</v>
      </c>
      <c r="C1" s="1" t="s">
        <v>153</v>
      </c>
      <c r="D1" s="1" t="s">
        <v>154</v>
      </c>
      <c r="E1" s="1" t="s">
        <v>155</v>
      </c>
      <c r="F1" s="1" t="s">
        <v>156</v>
      </c>
      <c r="G1" s="1" t="s">
        <v>30</v>
      </c>
    </row>
    <row r="2" customFormat="false" ht="23.85" hidden="false" customHeight="false" outlineLevel="0" collapsed="false">
      <c r="A2" s="2" t="s">
        <v>157</v>
      </c>
      <c r="B2" s="3" t="s">
        <v>158</v>
      </c>
      <c r="C2" s="3" t="n">
        <v>14</v>
      </c>
      <c r="D2" s="3" t="s">
        <v>159</v>
      </c>
      <c r="E2" s="3" t="n">
        <v>2</v>
      </c>
      <c r="F2" s="2" t="n">
        <f aca="false">E2-C2</f>
        <v>-12</v>
      </c>
      <c r="G2" s="2" t="s">
        <v>160</v>
      </c>
    </row>
    <row r="3" customFormat="false" ht="23.85" hidden="false" customHeight="false" outlineLevel="0" collapsed="false">
      <c r="A3" s="2" t="s">
        <v>161</v>
      </c>
      <c r="B3" s="3" t="s">
        <v>162</v>
      </c>
      <c r="C3" s="3" t="n">
        <v>11</v>
      </c>
      <c r="D3" s="3" t="s">
        <v>163</v>
      </c>
      <c r="E3" s="3" t="n">
        <v>16</v>
      </c>
      <c r="F3" s="2" t="n">
        <f aca="false">E3-C3</f>
        <v>5</v>
      </c>
      <c r="G3" s="2" t="s">
        <v>160</v>
      </c>
    </row>
    <row r="4" customFormat="false" ht="23.85" hidden="false" customHeight="false" outlineLevel="0" collapsed="false">
      <c r="A4" s="2" t="s">
        <v>164</v>
      </c>
      <c r="B4" s="3" t="s">
        <v>165</v>
      </c>
      <c r="C4" s="3" t="n">
        <v>10</v>
      </c>
      <c r="D4" s="3" t="s">
        <v>166</v>
      </c>
      <c r="E4" s="3" t="n">
        <v>53</v>
      </c>
      <c r="F4" s="2" t="n">
        <f aca="false">E4-C4</f>
        <v>43</v>
      </c>
      <c r="G4" s="2" t="s">
        <v>160</v>
      </c>
    </row>
    <row r="5" customFormat="false" ht="23.85" hidden="false" customHeight="false" outlineLevel="0" collapsed="false">
      <c r="A5" s="2" t="s">
        <v>167</v>
      </c>
      <c r="B5" s="3" t="s">
        <v>168</v>
      </c>
      <c r="C5" s="3" t="n">
        <v>8</v>
      </c>
      <c r="D5" s="3" t="s">
        <v>169</v>
      </c>
      <c r="E5" s="3" t="n">
        <v>0</v>
      </c>
      <c r="F5" s="2" t="n">
        <f aca="false">E5-C5</f>
        <v>-8</v>
      </c>
      <c r="G5" s="2" t="s">
        <v>160</v>
      </c>
    </row>
    <row r="6" customFormat="false" ht="15" hidden="false" customHeight="false" outlineLevel="0" collapsed="false">
      <c r="A6" s="2" t="s">
        <v>170</v>
      </c>
      <c r="B6" s="2"/>
      <c r="C6" s="2" t="n">
        <f aca="false">SUM(C2:C5)</f>
        <v>43</v>
      </c>
      <c r="D6" s="2"/>
      <c r="E6" s="2" t="n">
        <f aca="false">SUM(E2:E5)</f>
        <v>71</v>
      </c>
      <c r="F6" s="2" t="n">
        <f aca="false">E6-C6</f>
        <v>28</v>
      </c>
      <c r="G6" s="2" t="s">
        <v>171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16"/>
    <col collapsed="false" customWidth="true" hidden="false" outlineLevel="0" max="3" min="3" style="0" width="10"/>
    <col collapsed="false" customWidth="true" hidden="false" outlineLevel="0" max="4" min="4" style="0" width="60"/>
  </cols>
  <sheetData>
    <row r="1" customFormat="false" ht="23.85" hidden="false" customHeight="false" outlineLevel="0" collapsed="false">
      <c r="A1" s="1" t="s">
        <v>172</v>
      </c>
      <c r="B1" s="1" t="s">
        <v>173</v>
      </c>
      <c r="C1" s="1" t="s">
        <v>174</v>
      </c>
      <c r="D1" s="1" t="s">
        <v>175</v>
      </c>
    </row>
    <row r="2" customFormat="false" ht="15" hidden="false" customHeight="false" outlineLevel="0" collapsed="false">
      <c r="A2" s="2" t="s">
        <v>176</v>
      </c>
      <c r="B2" s="5" t="n">
        <f aca="false">Restoration_Shares!F2</f>
        <v>100</v>
      </c>
      <c r="C2" s="2" t="s">
        <v>177</v>
      </c>
      <c r="D2" s="2" t="str">
        <f aca="false">"FY within-standard share: "&amp;TEXT(B2/100,"0.0%")&amp;"."</f>
        <v>FY within-standard share: 100.0%.</v>
      </c>
    </row>
    <row r="3" customFormat="false" ht="23.85" hidden="false" customHeight="false" outlineLevel="0" collapsed="false">
      <c r="A3" s="2" t="s">
        <v>178</v>
      </c>
      <c r="B3" s="5" t="n">
        <f aca="false">Restoration_Shares!F3</f>
        <v>100</v>
      </c>
      <c r="C3" s="2" t="s">
        <v>177</v>
      </c>
      <c r="D3" s="2" t="str">
        <f aca="false">"FY within-standard share (time measured from receipt of complaint): "&amp;TEXT(B3/100,"0.0%")&amp;"."</f>
        <v>FY within-standard share (time measured from receipt of complaint): 100.0%.</v>
      </c>
    </row>
    <row r="4" customFormat="false" ht="15" hidden="false" customHeight="false" outlineLevel="0" collapsed="false">
      <c r="A4" s="2" t="s">
        <v>179</v>
      </c>
      <c r="B4" s="5" t="n">
        <f aca="false">Restoration_Shares!F4</f>
        <v>100</v>
      </c>
      <c r="C4" s="2" t="s">
        <v>177</v>
      </c>
      <c r="D4" s="2" t="str">
        <f aca="false">"FY within-standard share: "&amp;TEXT(B4/100,"0.0%")&amp;"."</f>
        <v>FY within-standard share: 100.0%.</v>
      </c>
    </row>
    <row r="5" customFormat="false" ht="15" hidden="false" customHeight="false" outlineLevel="0" collapsed="false">
      <c r="A5" s="2" t="s">
        <v>180</v>
      </c>
      <c r="B5" s="2" t="s">
        <v>181</v>
      </c>
      <c r="C5" s="2" t="s">
        <v>181</v>
      </c>
      <c r="D5" s="2" t="s">
        <v>182</v>
      </c>
    </row>
    <row r="6" customFormat="false" ht="23.85" hidden="false" customHeight="false" outlineLevel="0" collapsed="false">
      <c r="A6" s="2" t="s">
        <v>183</v>
      </c>
      <c r="B6" s="5" t="n">
        <f aca="false">Threshold_Tests!B2</f>
        <v>90</v>
      </c>
      <c r="C6" s="2" t="s">
        <v>177</v>
      </c>
      <c r="D6" s="2" t="str">
        <f aca="false">"FY within-standard share (time measured from receipt of complaint): "&amp;TEXT(B6/100,"0.0%")&amp;"."</f>
        <v>FY within-standard share (time measured from receipt of complaint): 90.0%.</v>
      </c>
    </row>
    <row r="7" customFormat="false" ht="15" hidden="false" customHeight="false" outlineLevel="0" collapsed="false">
      <c r="A7" s="2" t="s">
        <v>184</v>
      </c>
      <c r="B7" s="5" t="n">
        <f aca="false">Threshold_Tests!B3</f>
        <v>0.1</v>
      </c>
      <c r="C7" s="2" t="s">
        <v>185</v>
      </c>
      <c r="D7" s="2" t="str">
        <f aca="false">"FY faulty-bill share: "&amp;TEXT(B7/100,"0.00%")&amp;"."</f>
        <v>FY faulty-bill share: 0.10%.</v>
      </c>
    </row>
    <row r="8" customFormat="false" ht="15" hidden="false" customHeight="false" outlineLevel="0" collapsed="false">
      <c r="A8" s="2" t="s">
        <v>186</v>
      </c>
      <c r="B8" s="5" t="n">
        <f aca="false">Threshold_Tests!B4</f>
        <v>5</v>
      </c>
      <c r="C8" s="2" t="s">
        <v>177</v>
      </c>
      <c r="D8" s="2" t="str">
        <f aca="false">"FY defective-meter share: "&amp;TEXT(B8/100,"0.0%")&amp;"."</f>
        <v>FY defective-meter share: 5.0%.</v>
      </c>
    </row>
    <row r="9" customFormat="false" ht="15" hidden="false" customHeight="false" outlineLevel="0" collapsed="false">
      <c r="A9" s="2" t="s">
        <v>187</v>
      </c>
      <c r="B9" s="8" t="n">
        <f aca="false">Reliability!B2</f>
        <v>25441</v>
      </c>
      <c r="C9" s="2" t="s">
        <v>188</v>
      </c>
      <c r="D9" s="2" t="str">
        <f aca="false">"FY SAIDI: "&amp;TEXT(B9,"#,##0")&amp;" minutes per kW of connected load."</f>
        <v>FY SAIDI: 25,441 minutes per kW of connected load.</v>
      </c>
    </row>
    <row r="10" customFormat="false" ht="15" hidden="false" customHeight="false" outlineLevel="0" collapsed="false">
      <c r="A10" s="2" t="s">
        <v>189</v>
      </c>
      <c r="B10" s="8" t="n">
        <f aca="false">Reliability!B3</f>
        <v>600</v>
      </c>
      <c r="C10" s="2" t="s">
        <v>188</v>
      </c>
      <c r="D10" s="2" t="str">
        <f aca="false">"FY SAIFI: "&amp;TEXT(B10,"#,##0")&amp;" interruptions per kW of connected load."</f>
        <v>FY SAIFI: 600 interruptions per kW of connected load.</v>
      </c>
    </row>
    <row r="11" customFormat="false" ht="15" hidden="false" customHeight="false" outlineLevel="0" collapsed="false">
      <c r="A11" s="2" t="s">
        <v>190</v>
      </c>
      <c r="B11" s="8" t="n">
        <f aca="false">Reliability!B4</f>
        <v>66</v>
      </c>
      <c r="C11" s="2" t="s">
        <v>188</v>
      </c>
      <c r="D11" s="2" t="str">
        <f aca="false">"FY MAIFI: "&amp;TEXT(B11,"#,##0")&amp;" momentary interruptions per kW of connected load."</f>
        <v>FY MAIFI: 66 momentary interruptions per kW of connected load.</v>
      </c>
    </row>
    <row r="12" customFormat="false" ht="15" hidden="false" customHeight="false" outlineLevel="0" collapsed="false">
      <c r="A12" s="2" t="s">
        <v>191</v>
      </c>
      <c r="B12" s="2" t="s">
        <v>181</v>
      </c>
      <c r="C12" s="2" t="s">
        <v>181</v>
      </c>
      <c r="D12" s="2" t="s">
        <v>182</v>
      </c>
    </row>
    <row r="13" customFormat="false" ht="15" hidden="false" customHeight="false" outlineLevel="0" collapsed="false">
      <c r="A13" s="2" t="s">
        <v>192</v>
      </c>
      <c r="B13" s="2" t="s">
        <v>181</v>
      </c>
      <c r="C13" s="2" t="s">
        <v>181</v>
      </c>
      <c r="D13" s="2" t="s">
        <v>182</v>
      </c>
    </row>
    <row r="14" customFormat="false" ht="15" hidden="false" customHeight="false" outlineLevel="0" collapsed="false">
      <c r="A14" s="2" t="s">
        <v>193</v>
      </c>
      <c r="B14" s="10" t="n">
        <f aca="false">Accidents!E2</f>
        <v>2</v>
      </c>
      <c r="C14" s="2" t="s">
        <v>194</v>
      </c>
      <c r="D14" s="2" t="str">
        <f aca="false">"FY fatal human accidents: "&amp;B14&amp;"."</f>
        <v>FY fatal human accidents: 2.</v>
      </c>
    </row>
    <row r="15" customFormat="false" ht="15" hidden="false" customHeight="false" outlineLevel="0" collapsed="false">
      <c r="A15" s="2" t="s">
        <v>195</v>
      </c>
      <c r="B15" s="10" t="n">
        <f aca="false">Accidents!E3</f>
        <v>16</v>
      </c>
      <c r="C15" s="2" t="s">
        <v>194</v>
      </c>
      <c r="D15" s="2" t="str">
        <f aca="false">"FY non-fatal human accidents: "&amp;B15&amp;"."</f>
        <v>FY non-fatal human accidents: 16.</v>
      </c>
    </row>
    <row r="16" customFormat="false" ht="15" hidden="false" customHeight="false" outlineLevel="0" collapsed="false">
      <c r="A16" s="2" t="s">
        <v>196</v>
      </c>
      <c r="B16" s="10" t="n">
        <f aca="false">Accidents!E4</f>
        <v>53</v>
      </c>
      <c r="C16" s="2" t="s">
        <v>194</v>
      </c>
      <c r="D16" s="2" t="str">
        <f aca="false">"FY fatal animal accidents: "&amp;B16&amp;"."</f>
        <v>FY fatal animal accidents: 53.</v>
      </c>
    </row>
    <row r="17" customFormat="false" ht="15" hidden="false" customHeight="false" outlineLevel="0" collapsed="false">
      <c r="A17" s="2" t="s">
        <v>197</v>
      </c>
      <c r="B17" s="10" t="n">
        <f aca="false">Accidents!E5</f>
        <v>0</v>
      </c>
      <c r="C17" s="2" t="s">
        <v>194</v>
      </c>
      <c r="D17" s="2" t="str">
        <f aca="false">"FY non-fatal animal accidents: "&amp;B17&amp;"."</f>
        <v>FY non-fatal animal accidents: 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00"/>
  </cols>
  <sheetData>
    <row r="1" customFormat="false" ht="15" hidden="false" customHeight="false" outlineLevel="0" collapsed="false">
      <c r="A1" s="1" t="s">
        <v>198</v>
      </c>
      <c r="B1" s="1" t="s">
        <v>199</v>
      </c>
      <c r="C1" s="1" t="s">
        <v>200</v>
      </c>
    </row>
    <row r="2" customFormat="false" ht="23.85" hidden="false" customHeight="false" outlineLevel="0" collapsed="false">
      <c r="A2" s="2" t="s">
        <v>201</v>
      </c>
      <c r="B2" s="2" t="s">
        <v>202</v>
      </c>
      <c r="C2" s="2" t="s">
        <v>203</v>
      </c>
    </row>
    <row r="3" customFormat="false" ht="57.45" hidden="false" customHeight="false" outlineLevel="0" collapsed="false">
      <c r="A3" s="2" t="s">
        <v>204</v>
      </c>
      <c r="B3" s="2" t="s">
        <v>205</v>
      </c>
      <c r="C3" s="2" t="s">
        <v>206</v>
      </c>
    </row>
    <row r="4" customFormat="false" ht="23.85" hidden="false" customHeight="false" outlineLevel="0" collapsed="false">
      <c r="A4" s="2" t="s">
        <v>207</v>
      </c>
      <c r="B4" s="2" t="s">
        <v>205</v>
      </c>
      <c r="C4" s="2" t="s">
        <v>208</v>
      </c>
    </row>
    <row r="5" customFormat="false" ht="23.85" hidden="false" customHeight="false" outlineLevel="0" collapsed="false">
      <c r="A5" s="2" t="s">
        <v>209</v>
      </c>
      <c r="B5" s="2" t="s">
        <v>210</v>
      </c>
      <c r="C5" s="2" t="s">
        <v>211</v>
      </c>
    </row>
    <row r="6" customFormat="false" ht="23.85" hidden="false" customHeight="false" outlineLevel="0" collapsed="false">
      <c r="A6" s="2" t="s">
        <v>212</v>
      </c>
      <c r="B6" s="2" t="s">
        <v>202</v>
      </c>
      <c r="C6" s="2" t="s">
        <v>213</v>
      </c>
    </row>
    <row r="7" customFormat="false" ht="23.85" hidden="false" customHeight="false" outlineLevel="0" collapsed="false">
      <c r="A7" s="2" t="s">
        <v>214</v>
      </c>
      <c r="B7" s="2" t="s">
        <v>202</v>
      </c>
      <c r="C7" s="2" t="s">
        <v>215</v>
      </c>
    </row>
    <row r="8" customFormat="false" ht="23.85" hidden="false" customHeight="false" outlineLevel="0" collapsed="false">
      <c r="A8" s="2" t="s">
        <v>216</v>
      </c>
      <c r="B8" s="2" t="s">
        <v>217</v>
      </c>
      <c r="C8" s="2" t="s">
        <v>218</v>
      </c>
    </row>
    <row r="9" customFormat="false" ht="46.25" hidden="false" customHeight="false" outlineLevel="0" collapsed="false">
      <c r="A9" s="2" t="s">
        <v>219</v>
      </c>
      <c r="B9" s="2" t="s">
        <v>202</v>
      </c>
      <c r="C9" s="2" t="s">
        <v>220</v>
      </c>
    </row>
    <row r="10" customFormat="false" ht="23.85" hidden="false" customHeight="false" outlineLevel="0" collapsed="false">
      <c r="A10" s="2" t="s">
        <v>221</v>
      </c>
      <c r="B10" s="2" t="s">
        <v>202</v>
      </c>
      <c r="C10" s="2" t="s">
        <v>222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00"/>
  </cols>
  <sheetData>
    <row r="1" customFormat="false" ht="15" hidden="false" customHeight="false" outlineLevel="0" collapsed="false">
      <c r="A1" s="1" t="s">
        <v>198</v>
      </c>
      <c r="B1" s="1" t="s">
        <v>199</v>
      </c>
      <c r="C1" s="1" t="s">
        <v>223</v>
      </c>
    </row>
    <row r="2" customFormat="false" ht="35.05" hidden="false" customHeight="false" outlineLevel="0" collapsed="false">
      <c r="A2" s="2" t="s">
        <v>224</v>
      </c>
      <c r="B2" s="2" t="s">
        <v>202</v>
      </c>
      <c r="C2" s="2" t="s">
        <v>225</v>
      </c>
    </row>
    <row r="3" customFormat="false" ht="15" hidden="false" customHeight="false" outlineLevel="0" collapsed="false">
      <c r="A3" s="2" t="s">
        <v>226</v>
      </c>
      <c r="B3" s="2" t="s">
        <v>202</v>
      </c>
      <c r="C3" s="2" t="s">
        <v>227</v>
      </c>
    </row>
    <row r="4" customFormat="false" ht="15" hidden="false" customHeight="false" outlineLevel="0" collapsed="false">
      <c r="A4" s="2" t="s">
        <v>228</v>
      </c>
      <c r="B4" s="2" t="s">
        <v>202</v>
      </c>
      <c r="C4" s="2" t="s">
        <v>229</v>
      </c>
    </row>
    <row r="5" customFormat="false" ht="23.85" hidden="false" customHeight="false" outlineLevel="0" collapsed="false">
      <c r="A5" s="2" t="s">
        <v>230</v>
      </c>
      <c r="B5" s="2" t="s">
        <v>231</v>
      </c>
      <c r="C5" s="2" t="s">
        <v>232</v>
      </c>
    </row>
    <row r="6" customFormat="false" ht="23.85" hidden="false" customHeight="false" outlineLevel="0" collapsed="false">
      <c r="A6" s="2" t="s">
        <v>233</v>
      </c>
      <c r="B6" s="2" t="s">
        <v>202</v>
      </c>
      <c r="C6" s="2" t="s">
        <v>234</v>
      </c>
    </row>
    <row r="7" customFormat="false" ht="23.85" hidden="false" customHeight="false" outlineLevel="0" collapsed="false">
      <c r="A7" s="2" t="s">
        <v>235</v>
      </c>
      <c r="B7" s="2" t="s">
        <v>202</v>
      </c>
      <c r="C7" s="2" t="s">
        <v>236</v>
      </c>
    </row>
    <row r="8" customFormat="false" ht="23.85" hidden="false" customHeight="false" outlineLevel="0" collapsed="false">
      <c r="A8" s="2" t="s">
        <v>237</v>
      </c>
      <c r="B8" s="2" t="s">
        <v>202</v>
      </c>
      <c r="C8" s="2" t="s">
        <v>238</v>
      </c>
    </row>
    <row r="9" customFormat="false" ht="23.85" hidden="false" customHeight="false" outlineLevel="0" collapsed="false">
      <c r="A9" s="2" t="s">
        <v>239</v>
      </c>
      <c r="B9" s="2" t="s">
        <v>202</v>
      </c>
      <c r="C9" s="2" t="s">
        <v>240</v>
      </c>
    </row>
    <row r="10" customFormat="false" ht="23.85" hidden="false" customHeight="false" outlineLevel="0" collapsed="false">
      <c r="A10" s="2" t="s">
        <v>241</v>
      </c>
      <c r="B10" s="2" t="s">
        <v>202</v>
      </c>
      <c r="C10" s="2" t="s">
        <v>242</v>
      </c>
    </row>
    <row r="11" customFormat="false" ht="15" hidden="false" customHeight="false" outlineLevel="0" collapsed="false">
      <c r="A11" s="2" t="s">
        <v>243</v>
      </c>
      <c r="B11" s="2" t="s">
        <v>202</v>
      </c>
      <c r="C11" s="2" t="s">
        <v>244</v>
      </c>
    </row>
    <row r="12" customFormat="false" ht="15" hidden="false" customHeight="false" outlineLevel="0" collapsed="false">
      <c r="A12" s="2" t="s">
        <v>245</v>
      </c>
      <c r="B12" s="2" t="s">
        <v>202</v>
      </c>
      <c r="C12" s="2" t="s">
        <v>246</v>
      </c>
    </row>
    <row r="13" customFormat="false" ht="23.85" hidden="false" customHeight="false" outlineLevel="0" collapsed="false">
      <c r="A13" s="2" t="s">
        <v>247</v>
      </c>
      <c r="B13" s="2" t="s">
        <v>202</v>
      </c>
      <c r="C13" s="2" t="s">
        <v>248</v>
      </c>
    </row>
    <row r="14" customFormat="false" ht="23.85" hidden="false" customHeight="false" outlineLevel="0" collapsed="false">
      <c r="A14" s="2" t="s">
        <v>249</v>
      </c>
      <c r="B14" s="2" t="s">
        <v>250</v>
      </c>
      <c r="C14" s="2" t="s">
        <v>251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2026-10-14T07:58:55Z</dcterms:created>
  <dc:creator>openpyxl</dc:creator>
  <dc:description/>
  <dc:language>en-US</dc:language>
  <cp:lastModifiedBy/>
  <dcterms:modified xsi:type="dcterms:W3CDTF">2026-10-14T07:58:55Z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