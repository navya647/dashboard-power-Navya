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Voltage_Cases" sheetId="6" state="visible" r:id="rId8"/>
    <sheet name="Accidents" sheetId="7" state="visible" r:id="rId9"/>
    <sheet name="Dashboard_Transfer" sheetId="8" state="visible" r:id="rId10"/>
    <sheet name="Interyear_Continuity" sheetId="9" state="visible" r:id="rId11"/>
    <sheet name="PriorFY_Row_Check" sheetId="10" state="visible" r:id="rId12"/>
    <sheet name="QC_Gat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<sst xmlns="http://schemas.openxmlformats.org/spreadsheetml/2006/main" count="407" uniqueCount="274">
  <si>
    <t xml:space="preserve">Item</t>
  </si>
  <si>
    <t xml:space="preserve">Description</t>
  </si>
  <si>
    <t xml:space="preserve">Purpose</t>
  </si>
  <si>
    <t xml:space="preserve">Full calculation trail for TPWODL (Odisha), FY 2023-24 (Pass 1, permitted repository only). Applicable regulation re-established: OERC (Licensees' Standards of Performance) Regulations, 2004 (S1) as amended by the 1st Amendment Regulations, 2010 (S2); no repeal, replacement or later amendment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</si>
  <si>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</si>
  <si>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</si>
  <si>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</si>
  <si>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2023-24 (as reported and furnished through an affidavit): Achievement on Overall Standards of Performance' (S3), single page, TPWODL column 'For the year 2023-24'. All values are annual. Values transcribed in OSoP_Reported; the TPWODL column alignment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</si>
  <si>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</si>
  <si>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are equal (fuse-off: 100.00 / 100.00) the combined share is that value without case counts. Where they differ (line breakdown 99.96 / 100.00; distribution transformer 98.70 / 85.75) the combined share is not derived because case counts are not reported. Status on the S1 basis: met under any weighting if the lower area share is at or above the threshold; not met under any weighting if the higher is below; otherwise not determinable (Restoration_Shares). Distribution transformer is not determinable (rural below, urban above 95%), so the dashboard marks it not comparable.</t>
  </si>
  <si>
    <t xml:space="preserve">Ratio standards</t>
  </si>
  <si>
    <t xml:space="preserve">Faulty-bill share (not more than 0.1%) and defective-meter share (not more than 5%) are single annual reported values compared directly with the S1 threshold, read as per cent per the S3 labels. The defective-meter result depends on this reading (8.36% if read as a fraction) and is flagged (Threshold_Tests). Scheduled-outage and street-light rows are not compared.</t>
  </si>
  <si>
    <t xml:space="preserve">Reliability indices</t>
  </si>
  <si>
    <t xml:space="preserve">S1 Sch. II 1.5 formulas (p.15): SAIFI = sum(Ai x Ni) / Nt; SAIDI = sum(Bi x Ni) / Nt; MAIFI = sum(Ci x Ni) / Nt, Ni = connected load of feeder i affected, Nt = total 11 kV connected load. S3 reports annual values 'faced by 1 KW connected load' with units (Nos.) and (Minutes). No components are reported; values are used as reported (Reliability).</t>
  </si>
  <si>
    <t xml:space="preserve">Voltage cases</t>
  </si>
  <si>
    <t xml:space="preserve">S3 reports HT 9 under 'No. of cases'; EHT and LT '--'. Read as a count per the label (whole number; the FY 2022-23 value 1.5 was fractional). S1 sets voltage limits but no threshold for the number of cases, so no comparison is made (Voltage_Cases).</t>
  </si>
  <si>
    <t xml:space="preserve">Accidents</t>
  </si>
  <si>
    <t xml:space="preserve">S3 'No. of accident cases' for FY 2022-23 and FY 2023-24. FY 2023-24 counts used; FY 2022-23 counts reconcile with the FY 2022-23 workbook (Interyear_Continuity).</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</si>
  <si>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</si>
  <si>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</si>
  <si>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</si>
  <si>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(ii) 'towns and cities' treated as 'urban areas'; (iii) S3 faulty-bill parameter treated as the S1 billing-mistake parameter; (iv) faulty-bill and defective-meter values read as per cent; (v) voltage-case value read as a count.</t>
  </si>
  <si>
    <t xml:space="preserve">Template</t>
  </si>
  <si>
    <t xml:space="preserve">TPWODL FY 2022-23 workbooks used as the primary formatting template; all FY 2023-24 values, units, thresholds and comparison decisions re-established from the current sources.</t>
  </si>
  <si>
    <t xml:space="preserve">Dashboard transfer</t>
  </si>
  <si>
    <t xml:space="preserve">Dashboard_Transfer links each main-sheet value to its calculation cell and builds the annualised text with formulas; QC_Gate records the final checks.</t>
  </si>
  <si>
    <t xml:space="preserve">Ref</t>
  </si>
  <si>
    <t xml:space="preserve">Parameter (as published)</t>
  </si>
  <si>
    <t xml:space="preserve">Area</t>
  </si>
  <si>
    <t xml:space="preserve">Minimum target fixed by the Commission (as printed)</t>
  </si>
  <si>
    <t xml:space="preserve">Target (numeric)</t>
  </si>
  <si>
    <t xml:space="preserve">TPWODL FY 2023-24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</si>
  <si>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</si>
  <si>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</si>
  <si>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</si>
  <si>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</si>
  <si>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</si>
  <si>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</si>
  <si>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</si>
  <si>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</si>
  <si>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</si>
  <si>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2023-24,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</si>
  <si>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</si>
  <si>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</si>
  <si>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</si>
  <si>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</si>
  <si>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</si>
  <si>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</si>
  <si>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99.96</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</si>
  <si>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</si>
  <si>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</si>
  <si>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</si>
  <si>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</si>
  <si>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98.70</t>
  </si>
  <si>
    <t xml:space="preserve">R6</t>
  </si>
  <si>
    <t xml:space="preserve">Replacement of Distribution Transformer within 48 hrs. of receiving the complaint in rural areas</t>
  </si>
  <si>
    <t xml:space="preserve">85.75</t>
  </si>
  <si>
    <t xml:space="preserve">R7</t>
  </si>
  <si>
    <t xml:space="preserve">Completing the work within 12 hrs. of the scheduled outage before 5 PM/6 PM</t>
  </si>
  <si>
    <t xml:space="preserve">All</t>
  </si>
  <si>
    <t xml:space="preserve">--</t>
  </si>
  <si>
    <t xml:space="preserve">R8</t>
  </si>
  <si>
    <t xml:space="preserve">No. of cases in which voltage at the point of commencement of supply exceeded 3% of the voltage limits: EHT</t>
  </si>
  <si>
    <t xml:space="preserve">count</t>
  </si>
  <si>
    <t xml:space="preserve">R9</t>
  </si>
  <si>
    <t xml:space="preserve">Same: HT (S3 wording: 'No. of cases in which voltage at the point of commencement of supply exceeded 3% of the voltage limits')</t>
  </si>
  <si>
    <t xml:space="preserve">EHT</t>
  </si>
  <si>
    <t xml:space="preserve">(blank)</t>
  </si>
  <si>
    <t xml:space="preserve">9</t>
  </si>
  <si>
    <t xml:space="preserve">R10</t>
  </si>
  <si>
    <t xml:space="preserve">Same: HT</t>
  </si>
  <si>
    <t xml:space="preserve">HT</t>
  </si>
  <si>
    <t xml:space="preserve">R11</t>
  </si>
  <si>
    <t xml:space="preserve">Same: LT</t>
  </si>
  <si>
    <t xml:space="preserve">LT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</si>
  <si>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</si>
  <si>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</si>
  <si>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</si>
  <si>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</si>
  <si>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</si>
  <si>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0.0005</t>
  </si>
  <si>
    <t xml:space="preserve">R14</t>
  </si>
  <si>
    <t xml:space="preserve">No. of faulty/defective meters as a percentage of total no. of existing meters</t>
  </si>
  <si>
    <t xml:space="preserve">5</t>
  </si>
  <si>
    <t xml:space="preserve">0.0836</t>
  </si>
  <si>
    <t xml:space="preserve">R15</t>
  </si>
  <si>
    <t xml:space="preserve">Total no. of interruption each lasting more than 5 minutes faced by 1 KW connected load (SAIFI)(Nos.)</t>
  </si>
  <si>
    <t xml:space="preserve">428</t>
  </si>
  <si>
    <t xml:space="preserve">Nos. per 1 kW</t>
  </si>
  <si>
    <t xml:space="preserve">R16</t>
  </si>
  <si>
    <t xml:space="preserve">Total no. of interruption each lasting less than 5 minutes faced by 1 KW connected load (MAIFI)(Nos.)</t>
  </si>
  <si>
    <t xml:space="preserve">43</t>
  </si>
  <si>
    <t xml:space="preserve">R17</t>
  </si>
  <si>
    <t xml:space="preserve">Total duration of interruption in minutes each 1 KW connected load (SAIDI)(Minutes)</t>
  </si>
  <si>
    <t xml:space="preserve">18312</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</si>
  <si>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</si>
  <si>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</si>
  <si>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</si>
  <si>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</si>
  <si>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</si>
  <si>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</si>
  <si>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</si>
  <si>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</si>
  <si>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</si>
  <si>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</si>
  <si>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</si>
  <si>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</si>
  <si>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</si>
  <si>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</si>
  <si>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S1-basis status (before dashboard decision)</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</si>
  <si>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</si>
  <si>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</si>
  <si>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</si>
  <si>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</si>
  <si>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</si>
  <si>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 Urban 99.96 / rural 100.00: combined share not derivable without case counts</t>
  </si>
  <si>
    <t xml:space="preserve">Distribution transformer failure restoration</t>
  </si>
  <si>
    <t xml:space="preserve">S1 Sch. II 1.3 (p.14); time limits S1 Sch. I 1.4 (p.7); values OSoP_Reported R5-R6. Urban 98.70 above and rural 85.75 below the threshold: aggregate result not determinable without case counts, so comparison is marked not possible</t>
  </si>
  <si>
    <t xml:space="preserve">Reported value (%)</t>
  </si>
  <si>
    <t xml:space="preserve">Direction</t>
  </si>
  <si>
    <t xml:space="preserve">Test result (original basis)</t>
  </si>
  <si>
    <t xml:space="preserve">Margin to threshold (pp)</t>
  </si>
  <si>
    <t xml:space="preserve">Scheduled outage share</t>
  </si>
  <si>
    <t xml:space="preserve">At least</t>
  </si>
  <si>
    <t xml:space="preserve">S1 Sch. II 1.4 (p.14). Comparison not possible: standard also requires advance notice and a daily duration cap; reported item defined only as completion within 12 hours before 5 PM/6 PM</t>
  </si>
  <si>
    <t xml:space="preserve">Street-light fault rectification share</t>
  </si>
  <si>
    <t xml:space="preserve">S1 Sch. II 1.8 (p.16). No value reported for FY 2023-24</t>
  </si>
  <si>
    <t xml:space="preserve">Faulty-bill share</t>
  </si>
  <si>
    <t xml:space="preserve">Not more than</t>
  </si>
  <si>
    <t xml:space="preserve">S1 Sch. II 1.9 (p.16); reported 0.0005 read as per cent; result unchanged if read as a fraction (0.05%)</t>
  </si>
  <si>
    <t xml:space="preserve">Defective-meter share</t>
  </si>
  <si>
    <t xml:space="preserve">S1 Sch. II 1.10 (p.16); reported 0.0836 read as per cent; if read as a fraction (8.36%) the ceiling of 5% would be exceeded (see Data_Quality_Flags)</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</si>
  <si>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</si>
  <si>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</si>
  <si>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</si>
  <si>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</si>
  <si>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</si>
  <si>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</si>
  <si>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</si>
  <si>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</si>
  <si>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</si>
  <si>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</si>
  <si>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</si>
  <si>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</si>
  <si>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</si>
  <si>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</si>
  <si>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</si>
  <si>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</si>
  <si>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</si>
  <si>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</si>
  <si>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</si>
  <si>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</si>
  <si>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</si>
  <si>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</si>
  <si>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</si>
  <si>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</si>
  <si>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</si>
  <si>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</si>
  <si>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</si>
  <si>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</si>
  <si>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</si>
  <si>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</si>
  <si>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</si>
  <si>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Voltage level</t>
  </si>
  <si>
    <t xml:space="preserve">As printed</t>
  </si>
  <si>
    <t xml:space="preserve">Numeric</t>
  </si>
  <si>
    <t xml:space="preserve">No value reported</t>
  </si>
  <si>
    <t xml:space="preserve">Reported; read as a count of cases per the label (whole number)</t>
  </si>
  <si>
    <t xml:space="preserve">Category</t>
  </si>
  <si>
    <t xml:space="preserve">FY 2022-23 (as printed)</t>
  </si>
  <si>
    <t xml:space="preserve">FY 2022-23</t>
  </si>
  <si>
    <t xml:space="preserve">FY 2023-24 (as printed)</t>
  </si>
  <si>
    <t xml:space="preserve">FY 2023-24</t>
  </si>
  <si>
    <t xml:space="preserve">Change (FY 2023-24 - FY 2022-23)</t>
  </si>
  <si>
    <t xml:space="preserve">Fatal Human</t>
  </si>
  <si>
    <t xml:space="preserve">02</t>
  </si>
  <si>
    <t xml:space="preserve">46</t>
  </si>
  <si>
    <t xml:space="preserve">S3, OERC Achievement on Overall Standards of Performance FY 2023-24, p.1, accident table, TPWODL columns 22-23 / 23-24</t>
  </si>
  <si>
    <t xml:space="preserve">Non-fatal Human</t>
  </si>
  <si>
    <t xml:space="preserve">24</t>
  </si>
  <si>
    <t xml:space="preserve">44</t>
  </si>
  <si>
    <t xml:space="preserve">Fatal Animal</t>
  </si>
  <si>
    <t xml:space="preserve">Non-fatal Animal</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</si>
  <si>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</si>
  <si>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</si>
  <si>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</si>
  <si>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</si>
  <si>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</si>
  <si>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</si>
  <si>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</si>
  <si>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</si>
  <si>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</si>
  <si>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</si>
  <si>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n/a</t>
  </si>
  <si>
    <t xml:space="preserve">Not annualised: case counts required to combine the urban and rural shares are not reported.</t>
  </si>
  <si>
    <t xml:space="preserve">Distribution transformer failure restoration — share resolved within standard</t>
  </si>
  <si>
    <t xml:space="preserve">Scheduled outage restoration — share resolved within standard</t>
  </si>
  <si>
    <t xml:space="preserve">Street-light fault rectification — share resolved within standard</t>
  </si>
  <si>
    <t xml:space="preserve">Not annualised: no reported value.</t>
  </si>
  <si>
    <t xml:space="preserve">Billing mistakes — faulty bills as share of bills issued</t>
  </si>
  <si>
    <t xml:space="preserve">0.0000%</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</si>
  <si>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</si>
  <si>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</si>
  <si>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</si>
  <si>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</si>
  <si>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</si>
  <si>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</si>
  <si>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</si>
  <si>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0</t>
  </si>
  <si>
    <t xml:space="preserve">Fatal electrical accidents — humans</t>
  </si>
  <si>
    <t xml:space="preserve">Non-fatal electrical accidents — humans</t>
  </si>
  <si>
    <t xml:space="preserve">Fatal electrical accidents — animals</t>
  </si>
  <si>
    <t xml:space="preserve">Non-fatal electrical accidents — animals</t>
  </si>
  <si>
    <t xml:space="preserve">FY 2022-23 value in the FY 2022-23 workbook</t>
  </si>
  <si>
    <t xml:space="preserve">FY 2022-23 value shown in the FY 2023-24 statement</t>
  </si>
  <si>
    <t xml:space="preserve">Difference</t>
  </si>
  <si>
    <t xml:space="preserve">Status</t>
  </si>
  <si>
    <t xml:space="preserve">FY 2022-23 source</t>
  </si>
  <si>
    <t xml:space="preserve">FY 2023-24 source</t>
  </si>
  <si>
    <t xml:space="preserve">Fatal human accidents</t>
  </si>
  <si>
    <t xml:space="preserve">TPWODL FY 2022-23 Calculations &gt; Accidents (S3 FY 2022-23 statement, p.1)</t>
  </si>
  <si>
    <t xml:space="preserve">Non-fatal human accidents</t>
  </si>
  <si>
    <t xml:space="preserve">Fatal animal accidents</t>
  </si>
  <si>
    <t xml:space="preserve">Non-fatal animal accidents</t>
  </si>
  <si>
    <t xml:space="preserve">Check</t>
  </si>
  <si>
    <t xml:space="preserve">Result</t>
  </si>
  <si>
    <t xml:space="preserve">Detail</t>
  </si>
  <si>
    <t xml:space="preserve">Row set vs FY 2022-23 main sheet</t>
  </si>
  <si>
    <t xml:space="preserve">Pass</t>
  </si>
  <si>
    <t xml:space="preserve">16 rows (FY 2022-23: 16); 16 of 16 indicator names identical in the same order; same parameters in the Commission's statement.</t>
  </si>
  <si>
    <t xml:space="preserve">Row-by-row field comparison</t>
  </si>
  <si>
    <t xml:space="preserve">Pass (genuine differences)</t>
  </si>
  <si>
    <t xml:space="preserve">Fields changed per row (excluding financial year): Normal fuse-off call rectification: no change other than financial year; Line breakdown restoration: Reported data, Annualised / standardised reported data, Documentation of standardisation / transformation; Distribution transformer failure restoration: Reported data, Comparison possible?, Standard met?, If comparison is not possible, why?, Interpretation, Documentation of standardisation / transformation; Scheduled outage restoration: no change other than financial year; Street-light fault rectification: Reported data, If comparison is not possible, why?; Billing mistakes: Reported data, Annualised / standardised reported data; Defective meters: Reported data, Annualised / standardised reported data; System Average Interruption Duration Index (SAIDI): Reported data, Annualised / standardised reported data, If comparison is not possible, why?; System Average Interruption Frequency Index (SAIFI): Reported data, Annualised / standardised reported data, If comparison is not possible, why?; Momentary Average Interruption Frequency Index (MAIFI): Reported data, Annualised / standardised reported data, If comparison is not possible, why?; Supply frequency outside ±3% of 50 Hz: Reported data, If comparison is not possible, why?; Supply voltage at point of supply outside limits: Reported data, Annualised / standardised reported data, If comparison is not possible, why?, Interpretation; Fatal electrical accidents: Reported data, Annualised / standardised reported data; Non-fatal electrical accidents: Reported data, Annualised / standardised reported data; Fatal electrical accidents: Reported data, Annualised / standardised reported data; Non-fatal electrical accidents: no change other than financial year</t>
  </si>
  <si>
    <t xml:space="preserve">Rows unchanged apart from financial year</t>
  </si>
  <si>
    <t xml:space="preserve">Normal fuse-off call rectification, Scheduled outage restoration, Non-fatal electrical accidents</t>
  </si>
  <si>
    <t xml:space="preserve">Comparison / compliance logic</t>
  </si>
  <si>
    <t xml:space="preserve">Distribution transformer moves from Yes/Yes to No/N/A: urban 98.70% is above and rural 85.75% below the 95% aggregate threshold, and case counts are not reported. Line breakdown stays No/N/A with differing area shares. 3 rows Yes/Yes (fuse-off, faulty bills, defective meters); 13 rows No/N/A.</t>
  </si>
  <si>
    <t xml:space="preserve">Standards</t>
  </si>
  <si>
    <t xml:space="preserve">Standard column identical to FY 2022-23 because S1 (as amended by S2) is unchanged; re-checked against S1 Sch. I and II.</t>
  </si>
  <si>
    <t xml:space="preserve">Supporting-sheet and calculations structure</t>
  </si>
  <si>
    <t xml:space="preserve">Same sheet set as FY 2022-23; Restoration_Shares gains an S1-basis status column.</t>
  </si>
  <si>
    <t xml:space="preserve">Substantive evidence re-established</t>
  </si>
  <si>
    <t xml:space="preserve">All values, page references, flags and review items re-extracted from the FY 2023-24 statement and S1/S2; none copied from earlier years.</t>
  </si>
  <si>
    <t xml:space="preserve">Evidence</t>
  </si>
  <si>
    <t xml:space="preserve">Full permitted repository searched</t>
  </si>
  <si>
    <t xml:space="preserve">Repository: S1, S2, S3 (FY 2023-24 statement), the FY 2022-23 and FY 2021-22 statements, the context document, the previous TPWODL workbooks and the UGVCL reference workbooks. The connected Google Drive was searched again (TPWODL, Overall Standards of Performance, OERC); no relevant documents found.</t>
  </si>
  <si>
    <t xml:space="preserve">Regulatory and reported-performance sources reviewed</t>
  </si>
  <si>
    <t xml:space="preserve">Regulatory: S1 and S2 re-read for applicability to FY 2023-24. Reported: S3 (single page, text and rendered image).</t>
  </si>
  <si>
    <t xml:space="preserve">Applicable regulation re-established</t>
  </si>
  <si>
    <t xml:space="preserve">S1 as amended by S2 in force throughout FY 2023-24; no repeal or replacement found (recorded in Source_Gaps).</t>
  </si>
  <si>
    <t xml:space="preserve">Amendments checked</t>
  </si>
  <si>
    <t xml:space="preserve">Pass (gap recorded)</t>
  </si>
  <si>
    <t xml:space="preserve">S2 does not alter Schedule II standards or formulas. No later amendment found; recorded in Source_Gaps.</t>
  </si>
  <si>
    <t xml:space="preserve">Definitions, units, formulas, reporting basis re-verified</t>
  </si>
  <si>
    <t xml:space="preserve">Thresholds from S1 Sch. II; reliability formulas S1 p.15 (connected-load weighting); units from S3 labels and S1 formulas; reporting basis annual (S3).</t>
  </si>
  <si>
    <t xml:space="preserve">Unit check: every quantitative indicator</t>
  </si>
  <si>
    <t xml:space="preserve">Shares %; SAIDI minutes per kW; SAIFI interruptions per kW; MAIFI momentary interruptions per kW; voltage cases count; accidents count. Meter-share unit reading flagged.</t>
  </si>
  <si>
    <t xml:space="preserve">Annualisation-method check</t>
  </si>
  <si>
    <t xml:space="preserve">All values annual; no summing, averaging, multiplication or extrapolation. Combined urban/rural shares derived only where both area shares are equal.</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</si>
  <si>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</si>
  <si>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</si>
  <si>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</si>
  <si>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13 rows No / N/A; 3 rows Yes / Yes, each assessed on the original S1 basis.</t>
  </si>
  <si>
    <t xml:space="preserve">Standards not transformed</t>
  </si>
  <si>
    <t xml:space="preserve">Standards stated as aggregate shares or limits exactly as in S1.</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</si>
  <si>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</si>
  <si>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</si>
  <si>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</si>
  <si>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or fixed) matches the main sheet for all 16 rows (automated check after recalculation).</t>
  </si>
  <si>
    <t xml:space="preserve">Row-by-row consistency with FY 2022-23</t>
  </si>
  <si>
    <t xml:space="preserve">See PriorFY_Row_Check.</t>
  </si>
  <si>
    <t xml:space="preserve">Reconciliations and flags</t>
  </si>
  <si>
    <t xml:space="preserve">Pass (flags documented)</t>
  </si>
  <si>
    <t xml:space="preserve">Threshold check S1 = S3 targets: OK. Accident continuity with FY 2022-23 workbook: OK. Data flags recorded in Data_Quality_Flags.</t>
  </si>
</sst>
</file>

<file path=xl/styles.xml><?xml version="1.0" encoding="utf-8"?>
<styleSheet xmlns="http://schemas.openxmlformats.org/spreadsheetml/2006/main">
  <numFmts count="8">
    <numFmt numFmtId="164" formatCode="General"/>
    <numFmt numFmtId="165" formatCode="#,##0.00"/>
    <numFmt numFmtId="166" formatCode="0"/>
    <numFmt numFmtId="167" formatCode="#,##0.0000"/>
    <numFmt numFmtId="168" formatCode="0.00"/>
    <numFmt numFmtId="169" formatCode="0.0000"/>
    <numFmt numFmtId="170" formatCode="#,##0"/>
    <numFmt numFmtId="171"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color rgb="FF00800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9" fontId="6"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0</v>
      </c>
      <c r="B1" s="1" t="s">
        <v>1</v>
      </c>
    </row>
    <row r="2" customFormat="false" ht="35.05" hidden="false" customHeight="false" outlineLevel="0" collapsed="false">
      <c r="A2" s="2" t="s">
        <v>2</v>
      </c>
      <c r="B2" s="2" t="s">
        <v>3</v>
      </c>
    </row>
    <row r="3" customFormat="false" ht="15" hidden="false" customHeight="false" outlineLevel="0" collapsed="false">
      <c r="A3" s="2" t="s">
        <v>4</v>
      </c>
      <c r="B3" s="2" t="s">
        <v>5</v>
      </c>
    </row>
    <row r="4" customFormat="false" ht="35.05" hidden="false" customHeight="false" outlineLevel="0" collapsed="false">
      <c r="A4" s="2" t="s">
        <v>6</v>
      </c>
      <c r="B4" s="2" t="s">
        <v>7</v>
      </c>
    </row>
    <row r="5" customFormat="false" ht="68.65" hidden="false" customHeight="false" outlineLevel="0" collapsed="false">
      <c r="A5" s="2" t="s">
        <v>8</v>
      </c>
      <c r="B5" s="2" t="s">
        <v>9</v>
      </c>
    </row>
    <row r="6" customFormat="false" ht="35.05" hidden="false" customHeight="false" outlineLevel="0" collapsed="false">
      <c r="A6" s="2" t="s">
        <v>10</v>
      </c>
      <c r="B6" s="2" t="s">
        <v>11</v>
      </c>
    </row>
    <row r="7" customFormat="false" ht="35.05" hidden="false" customHeight="false" outlineLevel="0" collapsed="false">
      <c r="A7" s="2" t="s">
        <v>12</v>
      </c>
      <c r="B7" s="2" t="s">
        <v>13</v>
      </c>
    </row>
    <row r="8" customFormat="false" ht="23.85" hidden="false" customHeight="false" outlineLevel="0" collapsed="false">
      <c r="A8" s="2" t="s">
        <v>14</v>
      </c>
      <c r="B8" s="2" t="s">
        <v>15</v>
      </c>
    </row>
    <row r="9" customFormat="false" ht="23.85" hidden="false" customHeight="false" outlineLevel="0" collapsed="false">
      <c r="A9" s="2" t="s">
        <v>16</v>
      </c>
      <c r="B9" s="2" t="s">
        <v>17</v>
      </c>
    </row>
    <row r="10" customFormat="false" ht="23.85" hidden="false" customHeight="false" outlineLevel="0" collapsed="false">
      <c r="A10" s="2" t="s">
        <v>18</v>
      </c>
      <c r="B10" s="2" t="s">
        <v>19</v>
      </c>
    </row>
    <row r="11" customFormat="false" ht="35.05" hidden="false" customHeight="false" outlineLevel="0" collapsed="false">
      <c r="A11" s="2" t="s">
        <v>20</v>
      </c>
      <c r="B11" s="2" t="s">
        <v>21</v>
      </c>
    </row>
    <row r="12" customFormat="false" ht="23.85" hidden="false" customHeight="false" outlineLevel="0" collapsed="false">
      <c r="A12" s="2" t="s">
        <v>22</v>
      </c>
      <c r="B12" s="2" t="s">
        <v>23</v>
      </c>
    </row>
    <row r="13" customFormat="false" ht="23.85" hidden="false" customHeight="false" outlineLevel="0" collapsed="false">
      <c r="A13" s="2" t="s">
        <v>24</v>
      </c>
      <c r="B13"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6"/>
    <col collapsed="false" customWidth="true" hidden="false" outlineLevel="0" max="2" min="2" style="3" width="60"/>
    <col collapsed="false" customWidth="true" hidden="false" outlineLevel="0" max="3" min="3" style="3" width="8"/>
    <col collapsed="false" customWidth="true" hidden="false" outlineLevel="0" max="4" min="4" style="3" width="16"/>
    <col collapsed="false" customWidth="true" hidden="false" outlineLevel="0" max="5" min="5" style="3" width="11"/>
    <col collapsed="false" customWidth="true" hidden="false" outlineLevel="0" max="6" min="6" style="3" width="16"/>
    <col collapsed="false" customWidth="true" hidden="false" outlineLevel="0" max="7" min="7" style="3" width="12"/>
    <col collapsed="false" customWidth="true" hidden="false" outlineLevel="0" max="8" min="8" style="3" width="14"/>
    <col collapsed="false" customWidth="true" hidden="false" outlineLevel="0" max="9" min="9" style="3" width="40"/>
  </cols>
  <sheetData>
    <row r="1" customFormat="false" ht="45.75" hidden="false" customHeight="true" outlineLevel="0" collapsed="false">
      <c r="A1" s="1" t="s">
        <v>26</v>
      </c>
      <c r="B1" s="1" t="s">
        <v>27</v>
      </c>
      <c r="C1" s="1" t="s">
        <v>28</v>
      </c>
      <c r="D1" s="1" t="s">
        <v>29</v>
      </c>
      <c r="E1" s="1" t="s">
        <v>30</v>
      </c>
      <c r="F1" s="1" t="s">
        <v>31</v>
      </c>
      <c r="G1" s="1" t="s">
        <v>32</v>
      </c>
      <c r="H1" s="1" t="s">
        <v>33</v>
      </c>
      <c r="I1" s="1" t="s">
        <v>34</v>
      </c>
    </row>
    <row r="2" customFormat="false" ht="23.25" hidden="false" customHeight="true" outlineLevel="0" collapsed="false">
      <c r="A2" s="2" t="s">
        <v>35</v>
      </c>
      <c r="B2" s="4" t="s">
        <v>36</v>
      </c>
      <c r="C2" s="4" t="s">
        <v>37</v>
      </c>
      <c r="D2" s="4" t="s">
        <v>38</v>
      </c>
      <c r="E2" s="4" t="n">
        <v>90</v>
      </c>
      <c r="F2" s="4" t="s">
        <v>39</v>
      </c>
      <c r="G2" s="5" t="n">
        <v>100</v>
      </c>
      <c r="H2" s="4" t="s">
        <v>40</v>
      </c>
      <c r="I2" s="2" t="s">
        <v>41</v>
      </c>
    </row>
    <row r="3" customFormat="false" ht="23.25" hidden="false" customHeight="true" outlineLevel="0" collapsed="false">
      <c r="A3" s="2" t="s">
        <v>42</v>
      </c>
      <c r="B3" s="4" t="s">
        <v>43</v>
      </c>
      <c r="C3" s="4" t="s">
        <v>44</v>
      </c>
      <c r="D3" s="4" t="s">
        <v>38</v>
      </c>
      <c r="E3" s="4" t="n">
        <v>90</v>
      </c>
      <c r="F3" s="4" t="s">
        <v>39</v>
      </c>
      <c r="G3" s="5" t="n">
        <v>100</v>
      </c>
      <c r="H3" s="4" t="s">
        <v>40</v>
      </c>
      <c r="I3" s="2" t="s">
        <v>41</v>
      </c>
    </row>
    <row r="4" customFormat="false" ht="23.25" hidden="false" customHeight="true" outlineLevel="0" collapsed="false">
      <c r="A4" s="2" t="s">
        <v>45</v>
      </c>
      <c r="B4" s="4" t="s">
        <v>46</v>
      </c>
      <c r="C4" s="4" t="s">
        <v>37</v>
      </c>
      <c r="D4" s="4" t="s">
        <v>47</v>
      </c>
      <c r="E4" s="4" t="n">
        <v>95</v>
      </c>
      <c r="F4" s="4" t="s">
        <v>48</v>
      </c>
      <c r="G4" s="5" t="n">
        <v>99.96</v>
      </c>
      <c r="H4" s="4" t="s">
        <v>40</v>
      </c>
      <c r="I4" s="2" t="s">
        <v>41</v>
      </c>
    </row>
    <row r="5" customFormat="false" ht="23.25" hidden="false" customHeight="true" outlineLevel="0" collapsed="false">
      <c r="A5" s="2" t="s">
        <v>49</v>
      </c>
      <c r="B5" s="4" t="s">
        <v>50</v>
      </c>
      <c r="C5" s="4" t="s">
        <v>44</v>
      </c>
      <c r="D5" s="4" t="s">
        <v>47</v>
      </c>
      <c r="E5" s="4" t="n">
        <v>95</v>
      </c>
      <c r="F5" s="4" t="s">
        <v>39</v>
      </c>
      <c r="G5" s="5" t="n">
        <v>100</v>
      </c>
      <c r="H5" s="4" t="s">
        <v>40</v>
      </c>
      <c r="I5" s="2" t="s">
        <v>41</v>
      </c>
    </row>
    <row r="6" customFormat="false" ht="23.25" hidden="false" customHeight="true" outlineLevel="0" collapsed="false">
      <c r="A6" s="2" t="s">
        <v>51</v>
      </c>
      <c r="B6" s="4" t="s">
        <v>52</v>
      </c>
      <c r="C6" s="4" t="s">
        <v>37</v>
      </c>
      <c r="D6" s="4" t="s">
        <v>47</v>
      </c>
      <c r="E6" s="4" t="n">
        <v>95</v>
      </c>
      <c r="F6" s="4" t="s">
        <v>53</v>
      </c>
      <c r="G6" s="5" t="n">
        <v>98.7</v>
      </c>
      <c r="H6" s="4" t="s">
        <v>40</v>
      </c>
      <c r="I6" s="2" t="s">
        <v>41</v>
      </c>
    </row>
    <row r="7" customFormat="false" ht="23.25" hidden="false" customHeight="true" outlineLevel="0" collapsed="false">
      <c r="A7" s="2" t="s">
        <v>54</v>
      </c>
      <c r="B7" s="4" t="s">
        <v>55</v>
      </c>
      <c r="C7" s="4" t="s">
        <v>44</v>
      </c>
      <c r="D7" s="4" t="s">
        <v>47</v>
      </c>
      <c r="E7" s="4" t="n">
        <v>95</v>
      </c>
      <c r="F7" s="4" t="s">
        <v>56</v>
      </c>
      <c r="G7" s="5" t="n">
        <v>85.75</v>
      </c>
      <c r="H7" s="4" t="s">
        <v>40</v>
      </c>
      <c r="I7" s="2" t="s">
        <v>41</v>
      </c>
    </row>
    <row r="8" customFormat="false" ht="23.25" hidden="false" customHeight="true" outlineLevel="0" collapsed="false">
      <c r="A8" s="2" t="s">
        <v>57</v>
      </c>
      <c r="B8" s="4" t="s">
        <v>58</v>
      </c>
      <c r="C8" s="4" t="s">
        <v>59</v>
      </c>
      <c r="D8" s="4" t="s">
        <v>60</v>
      </c>
      <c r="E8" s="4"/>
      <c r="F8" s="4" t="s">
        <v>39</v>
      </c>
      <c r="G8" s="5" t="n">
        <v>100</v>
      </c>
      <c r="H8" s="4" t="s">
        <v>40</v>
      </c>
      <c r="I8" s="2" t="s">
        <v>41</v>
      </c>
    </row>
    <row r="9" customFormat="false" ht="23.25" hidden="false" customHeight="true" outlineLevel="0" collapsed="false">
      <c r="A9" s="2" t="s">
        <v>61</v>
      </c>
      <c r="B9" s="4" t="s">
        <v>62</v>
      </c>
      <c r="C9" s="4" t="s">
        <v>59</v>
      </c>
      <c r="D9" s="4" t="s">
        <v>60</v>
      </c>
      <c r="E9" s="4"/>
      <c r="F9" s="4" t="s">
        <v>60</v>
      </c>
      <c r="G9" s="5"/>
      <c r="H9" s="4" t="s">
        <v>63</v>
      </c>
      <c r="I9" s="2" t="s">
        <v>41</v>
      </c>
    </row>
    <row r="10" customFormat="false" ht="23.25" hidden="false" customHeight="true" outlineLevel="0" collapsed="false">
      <c r="A10" s="2" t="s">
        <v>64</v>
      </c>
      <c r="B10" s="4" t="s">
        <v>65</v>
      </c>
      <c r="C10" s="4" t="s">
        <v>66</v>
      </c>
      <c r="D10" s="4" t="s">
        <v>67</v>
      </c>
      <c r="E10" s="4"/>
      <c r="F10" s="4" t="s">
        <v>68</v>
      </c>
      <c r="G10" s="6" t="n">
        <v>9</v>
      </c>
      <c r="H10" s="4" t="s">
        <v>63</v>
      </c>
      <c r="I10" s="2" t="s">
        <v>41</v>
      </c>
    </row>
    <row r="11" customFormat="false" ht="23.25" hidden="false" customHeight="true" outlineLevel="0" collapsed="false">
      <c r="A11" s="2" t="s">
        <v>69</v>
      </c>
      <c r="B11" s="4" t="s">
        <v>70</v>
      </c>
      <c r="C11" s="4" t="s">
        <v>71</v>
      </c>
      <c r="D11" s="4" t="s">
        <v>67</v>
      </c>
      <c r="E11" s="4"/>
      <c r="F11" s="4" t="s">
        <v>60</v>
      </c>
      <c r="G11" s="5"/>
      <c r="H11" s="4" t="s">
        <v>63</v>
      </c>
      <c r="I11" s="2" t="s">
        <v>41</v>
      </c>
    </row>
    <row r="12" customFormat="false" ht="23.25" hidden="false" customHeight="true" outlineLevel="0" collapsed="false">
      <c r="A12" s="2" t="s">
        <v>72</v>
      </c>
      <c r="B12" s="4" t="s">
        <v>73</v>
      </c>
      <c r="C12" s="4" t="s">
        <v>74</v>
      </c>
      <c r="D12" s="4" t="s">
        <v>67</v>
      </c>
      <c r="E12" s="4"/>
      <c r="F12" s="4" t="s">
        <v>60</v>
      </c>
      <c r="G12" s="5"/>
      <c r="H12" s="4" t="s">
        <v>63</v>
      </c>
      <c r="I12" s="2" t="s">
        <v>41</v>
      </c>
    </row>
    <row r="13" customFormat="false" ht="23.25" hidden="false" customHeight="true" outlineLevel="0" collapsed="false">
      <c r="A13" s="2" t="s">
        <v>75</v>
      </c>
      <c r="B13" s="4" t="s">
        <v>76</v>
      </c>
      <c r="C13" s="4" t="s">
        <v>59</v>
      </c>
      <c r="D13" s="4" t="s">
        <v>38</v>
      </c>
      <c r="E13" s="4" t="n">
        <v>90</v>
      </c>
      <c r="F13" s="4" t="s">
        <v>60</v>
      </c>
      <c r="G13" s="5"/>
      <c r="H13" s="4" t="s">
        <v>40</v>
      </c>
      <c r="I13" s="2" t="s">
        <v>41</v>
      </c>
    </row>
    <row r="14" customFormat="false" ht="23.25" hidden="false" customHeight="true" outlineLevel="0" collapsed="false">
      <c r="A14" s="2" t="s">
        <v>77</v>
      </c>
      <c r="B14" s="4" t="s">
        <v>78</v>
      </c>
      <c r="C14" s="4" t="s">
        <v>59</v>
      </c>
      <c r="D14" s="4" t="s">
        <v>79</v>
      </c>
      <c r="E14" s="4" t="n">
        <v>0.1</v>
      </c>
      <c r="F14" s="4" t="s">
        <v>80</v>
      </c>
      <c r="G14" s="7" t="n">
        <v>0.0005</v>
      </c>
      <c r="H14" s="4" t="s">
        <v>40</v>
      </c>
      <c r="I14" s="2" t="s">
        <v>41</v>
      </c>
    </row>
    <row r="15" customFormat="false" ht="23.25" hidden="false" customHeight="true" outlineLevel="0" collapsed="false">
      <c r="A15" s="2" t="s">
        <v>81</v>
      </c>
      <c r="B15" s="4" t="s">
        <v>82</v>
      </c>
      <c r="C15" s="4" t="s">
        <v>59</v>
      </c>
      <c r="D15" s="4" t="s">
        <v>83</v>
      </c>
      <c r="E15" s="4" t="n">
        <v>5</v>
      </c>
      <c r="F15" s="4" t="s">
        <v>84</v>
      </c>
      <c r="G15" s="7" t="n">
        <v>0.0836</v>
      </c>
      <c r="H15" s="4" t="s">
        <v>40</v>
      </c>
      <c r="I15" s="2" t="s">
        <v>41</v>
      </c>
    </row>
    <row r="16" customFormat="false" ht="23.25" hidden="false" customHeight="true" outlineLevel="0" collapsed="false">
      <c r="A16" s="2" t="s">
        <v>85</v>
      </c>
      <c r="B16" s="4" t="s">
        <v>86</v>
      </c>
      <c r="C16" s="4" t="s">
        <v>59</v>
      </c>
      <c r="D16" s="4" t="s">
        <v>67</v>
      </c>
      <c r="E16" s="4"/>
      <c r="F16" s="4" t="s">
        <v>87</v>
      </c>
      <c r="G16" s="5" t="n">
        <v>428</v>
      </c>
      <c r="H16" s="4" t="s">
        <v>88</v>
      </c>
      <c r="I16" s="2" t="s">
        <v>41</v>
      </c>
    </row>
    <row r="17" customFormat="false" ht="23.25" hidden="false" customHeight="true" outlineLevel="0" collapsed="false">
      <c r="A17" s="2" t="s">
        <v>89</v>
      </c>
      <c r="B17" s="4" t="s">
        <v>90</v>
      </c>
      <c r="C17" s="4" t="s">
        <v>59</v>
      </c>
      <c r="D17" s="4" t="s">
        <v>67</v>
      </c>
      <c r="E17" s="4"/>
      <c r="F17" s="4" t="s">
        <v>91</v>
      </c>
      <c r="G17" s="5" t="n">
        <v>43</v>
      </c>
      <c r="H17" s="4" t="s">
        <v>88</v>
      </c>
      <c r="I17" s="2" t="s">
        <v>41</v>
      </c>
    </row>
    <row r="18" customFormat="false" ht="23.25" hidden="false" customHeight="true" outlineLevel="0" collapsed="false">
      <c r="A18" s="2" t="s">
        <v>92</v>
      </c>
      <c r="B18" s="4" t="s">
        <v>93</v>
      </c>
      <c r="C18" s="4" t="s">
        <v>59</v>
      </c>
      <c r="D18" s="4" t="s">
        <v>67</v>
      </c>
      <c r="E18" s="4"/>
      <c r="F18" s="4" t="s">
        <v>94</v>
      </c>
      <c r="G18" s="5" t="n">
        <v>18312</v>
      </c>
      <c r="H18" s="4" t="s">
        <v>95</v>
      </c>
      <c r="I18" s="2"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30"/>
    <col collapsed="false" customWidth="true" hidden="false" outlineLevel="0" max="5" min="2" style="3" width="10"/>
    <col collapsed="false" customWidth="true" hidden="false" outlineLevel="0" max="6" min="6" style="3" width="12"/>
    <col collapsed="false" customWidth="true" hidden="false" outlineLevel="0" max="8" min="7" style="3" width="11"/>
    <col collapsed="false" customWidth="true" hidden="false" outlineLevel="0" max="9" min="9" style="3" width="10"/>
    <col collapsed="false" customWidth="true" hidden="false" outlineLevel="0" max="11" min="10" style="3" width="12"/>
    <col collapsed="false" customWidth="true" hidden="false" outlineLevel="0" max="12" min="12" style="3" width="16"/>
    <col collapsed="false" customWidth="true" hidden="false" outlineLevel="0" max="13" min="13" style="3" width="50"/>
    <col collapsed="false" customWidth="true" hidden="false" outlineLevel="0" max="14" min="14" style="0" width="30"/>
  </cols>
  <sheetData>
    <row r="1" customFormat="false" ht="45.75" hidden="false" customHeight="true" outlineLevel="0" collapsed="false">
      <c r="A1" s="1" t="s">
        <v>96</v>
      </c>
      <c r="B1" s="1" t="s">
        <v>97</v>
      </c>
      <c r="C1" s="1" t="s">
        <v>98</v>
      </c>
      <c r="D1" s="1" t="s">
        <v>99</v>
      </c>
      <c r="E1" s="1" t="s">
        <v>100</v>
      </c>
      <c r="F1" s="1" t="s">
        <v>101</v>
      </c>
      <c r="G1" s="1" t="s">
        <v>102</v>
      </c>
      <c r="H1" s="1" t="s">
        <v>103</v>
      </c>
      <c r="I1" s="1" t="s">
        <v>104</v>
      </c>
      <c r="J1" s="1" t="s">
        <v>105</v>
      </c>
      <c r="K1" s="1" t="s">
        <v>106</v>
      </c>
      <c r="L1" s="1" t="s">
        <v>107</v>
      </c>
      <c r="M1" s="1" t="s">
        <v>108</v>
      </c>
      <c r="N1" s="1" t="s">
        <v>109</v>
      </c>
    </row>
    <row r="2" customFormat="false" ht="23.25" hidden="false" customHeight="true" outlineLevel="0" collapsed="false">
      <c r="A2" s="2" t="s">
        <v>110</v>
      </c>
      <c r="B2" s="8" t="n">
        <f aca="false">OSoP_Reported!G2</f>
        <v>100</v>
      </c>
      <c r="C2" s="8" t="n">
        <f aca="false">OSoP_Reported!G3</f>
        <v>100</v>
      </c>
      <c r="D2" s="9" t="n">
        <f aca="false">MIN(B2,C2)</f>
        <v>100</v>
      </c>
      <c r="E2" s="9" t="n">
        <f aca="false">MAX(B2,C2)</f>
        <v>100</v>
      </c>
      <c r="F2" s="9" t="n">
        <f aca="false">IF(D2=E2,D2,"Not derivable without case counts")</f>
        <v>100</v>
      </c>
      <c r="G2" s="10" t="n">
        <v>90</v>
      </c>
      <c r="H2" s="8" t="n">
        <f aca="false">OSoP_Reported!E2</f>
        <v>90</v>
      </c>
      <c r="I2" s="2" t="str">
        <f aca="false">IF(AND(G2=H2,OSoP_Reported!E2=OSoP_Reported!E3),"OK","FLAG")</f>
        <v>OK</v>
      </c>
      <c r="J2" s="4" t="s">
        <v>111</v>
      </c>
      <c r="K2" s="2" t="str">
        <f aca="false">IF(J2&lt;&gt;"Yes","N/A",IF(D2&gt;=G2,"Yes",IF(E2&lt;G2,"No","Not determinable")))</f>
        <v>Yes</v>
      </c>
      <c r="L2" s="2" t="str">
        <f aca="false">IF(AND(B2&gt;=H2,C2&gt;=H2),"Both areas at or above target","At least one area below target")</f>
        <v>Both areas at or above target</v>
      </c>
      <c r="M2" s="2" t="s">
        <v>112</v>
      </c>
      <c r="N2" s="2" t="str">
        <f aca="false">IF(D2&gt;=G2,"Met under any weighting",IF(E2&lt;G2,"Not met under any weighting","Not determinable without case counts"))</f>
        <v>Met under any weighting</v>
      </c>
    </row>
    <row r="3" customFormat="false" ht="34.5" hidden="false" customHeight="true" outlineLevel="0" collapsed="false">
      <c r="A3" s="2" t="s">
        <v>113</v>
      </c>
      <c r="B3" s="8" t="n">
        <f aca="false">OSoP_Reported!G4</f>
        <v>99.96</v>
      </c>
      <c r="C3" s="8" t="n">
        <f aca="false">OSoP_Reported!G5</f>
        <v>100</v>
      </c>
      <c r="D3" s="9" t="n">
        <f aca="false">MIN(B3,C3)</f>
        <v>99.96</v>
      </c>
      <c r="E3" s="9" t="n">
        <f aca="false">MAX(B3,C3)</f>
        <v>100</v>
      </c>
      <c r="F3" s="9" t="str">
        <f aca="false">IF(D3=E3,D3,"Not derivable without case counts")</f>
        <v>Not derivable without case counts</v>
      </c>
      <c r="G3" s="10" t="n">
        <v>95</v>
      </c>
      <c r="H3" s="8" t="n">
        <f aca="false">OSoP_Reported!E4</f>
        <v>95</v>
      </c>
      <c r="I3" s="2" t="str">
        <f aca="false">IF(AND(G3=H3,OSoP_Reported!E4=OSoP_Reported!E5),"OK","FLAG")</f>
        <v>OK</v>
      </c>
      <c r="J3" s="4" t="s">
        <v>114</v>
      </c>
      <c r="K3" s="2" t="str">
        <f aca="false">IF(J3&lt;&gt;"Yes","N/A",IF(D3&gt;=G3,"Yes",IF(E3&lt;G3,"No","Not determinable")))</f>
        <v>N/A</v>
      </c>
      <c r="L3" s="2" t="str">
        <f aca="false">IF(AND(B3&gt;=H3,C3&gt;=H3),"Both areas at or above target","At least one area below target")</f>
        <v>Both areas at or above target</v>
      </c>
      <c r="M3" s="2" t="s">
        <v>115</v>
      </c>
      <c r="N3" s="2" t="str">
        <f aca="false">IF(D3&gt;=G3,"Met under any weighting",IF(E3&lt;G3,"Not met under any weighting","Not determinable without case counts"))</f>
        <v>Met under any weighting</v>
      </c>
    </row>
    <row r="4" customFormat="false" ht="23.25" hidden="false" customHeight="true" outlineLevel="0" collapsed="false">
      <c r="A4" s="2" t="s">
        <v>116</v>
      </c>
      <c r="B4" s="8" t="n">
        <f aca="false">OSoP_Reported!G6</f>
        <v>98.7</v>
      </c>
      <c r="C4" s="8" t="n">
        <f aca="false">OSoP_Reported!G7</f>
        <v>85.75</v>
      </c>
      <c r="D4" s="9" t="n">
        <f aca="false">MIN(B4,C4)</f>
        <v>85.75</v>
      </c>
      <c r="E4" s="9" t="n">
        <f aca="false">MAX(B4,C4)</f>
        <v>98.7</v>
      </c>
      <c r="F4" s="9" t="str">
        <f aca="false">IF(D4=E4,D4,"Not derivable without case counts")</f>
        <v>Not derivable without case counts</v>
      </c>
      <c r="G4" s="10" t="n">
        <v>95</v>
      </c>
      <c r="H4" s="8" t="n">
        <f aca="false">OSoP_Reported!E6</f>
        <v>95</v>
      </c>
      <c r="I4" s="2" t="str">
        <f aca="false">IF(AND(G4=H4,OSoP_Reported!E6=OSoP_Reported!E7),"OK","FLAG")</f>
        <v>OK</v>
      </c>
      <c r="J4" s="4" t="s">
        <v>114</v>
      </c>
      <c r="K4" s="2" t="str">
        <f aca="false">IF(J4&lt;&gt;"Yes","N/A",IF(D4&gt;=G4,"Yes",IF(E4&lt;G4,"No","Not determinable")))</f>
        <v>N/A</v>
      </c>
      <c r="L4" s="2" t="str">
        <f aca="false">IF(AND(B4&gt;=H4,C4&gt;=H4),"Both areas at or above target","At least one area below target")</f>
        <v>At least one area below target</v>
      </c>
      <c r="M4" s="2" t="s">
        <v>117</v>
      </c>
      <c r="N4" s="2" t="str">
        <f aca="false">IF(D4&gt;=G4,"Met under any weighting",IF(E4&lt;G4,"Not met under any weighting","Not determinable without case counts"))</f>
        <v>Not determinable without case counts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34"/>
    <col collapsed="false" customWidth="true" hidden="false" outlineLevel="0" max="2" min="2" style="3" width="11"/>
    <col collapsed="false" customWidth="true" hidden="false" outlineLevel="0" max="4" min="3" style="3" width="12"/>
    <col collapsed="false" customWidth="true" hidden="false" outlineLevel="0" max="6" min="5" style="3" width="13"/>
    <col collapsed="false" customWidth="true" hidden="false" outlineLevel="0" max="7" min="7" style="3" width="12"/>
    <col collapsed="false" customWidth="true" hidden="false" outlineLevel="0" max="8" min="8" style="3" width="60"/>
  </cols>
  <sheetData>
    <row r="1" customFormat="false" ht="45.75" hidden="false" customHeight="true" outlineLevel="0" collapsed="false">
      <c r="A1" s="1" t="s">
        <v>96</v>
      </c>
      <c r="B1" s="1" t="s">
        <v>118</v>
      </c>
      <c r="C1" s="1" t="s">
        <v>102</v>
      </c>
      <c r="D1" s="1" t="s">
        <v>119</v>
      </c>
      <c r="E1" s="1" t="s">
        <v>105</v>
      </c>
      <c r="F1" s="1" t="s">
        <v>120</v>
      </c>
      <c r="G1" s="1" t="s">
        <v>121</v>
      </c>
      <c r="H1" s="1" t="s">
        <v>108</v>
      </c>
    </row>
    <row r="2" customFormat="false" ht="34.5" hidden="false" customHeight="true" outlineLevel="0" collapsed="false">
      <c r="A2" s="2" t="s">
        <v>122</v>
      </c>
      <c r="B2" s="8" t="n">
        <f aca="false">OSoP_Reported!G8</f>
        <v>100</v>
      </c>
      <c r="C2" s="10" t="n">
        <v>90</v>
      </c>
      <c r="D2" s="2" t="s">
        <v>123</v>
      </c>
      <c r="E2" s="4" t="s">
        <v>114</v>
      </c>
      <c r="F2" s="2" t="str">
        <f aca="false">IF(E2&lt;&gt;"Yes","N/A",IF(D2="At least",IF(B2&gt;=C2,"Yes","No"),IF(B2&lt;=C2,"Yes","No")))</f>
        <v>N/A</v>
      </c>
      <c r="G2" s="9" t="n">
        <f aca="false">IF(ISNUMBER(B2),IF(D2="At least",B2-C2,C2-B2),"n/a")</f>
        <v>10</v>
      </c>
      <c r="H2" s="2" t="s">
        <v>124</v>
      </c>
    </row>
    <row r="3" customFormat="false" ht="23.25" hidden="false" customHeight="true" outlineLevel="0" collapsed="false">
      <c r="A3" s="2" t="s">
        <v>125</v>
      </c>
      <c r="B3" s="8" t="str">
        <f aca="false">IF(ISNUMBER(OSoP_Reported!G13),OSoP_Reported!G13,"No value reported")</f>
        <v>No value reported</v>
      </c>
      <c r="C3" s="10" t="n">
        <v>90</v>
      </c>
      <c r="D3" s="2" t="s">
        <v>123</v>
      </c>
      <c r="E3" s="4" t="s">
        <v>114</v>
      </c>
      <c r="F3" s="2" t="str">
        <f aca="false">IF(E3&lt;&gt;"Yes","N/A",IF(D3="At least",IF(B3&gt;=C3,"Yes","No"),IF(B3&lt;=C3,"Yes","No")))</f>
        <v>N/A</v>
      </c>
      <c r="G3" s="9" t="str">
        <f aca="false">IF(ISNUMBER(B3),IF(D3="At least",B3-C3,C3-B3),"n/a")</f>
        <v>n/a</v>
      </c>
      <c r="H3" s="2" t="s">
        <v>126</v>
      </c>
    </row>
    <row r="4" customFormat="false" ht="23.25" hidden="false" customHeight="true" outlineLevel="0" collapsed="false">
      <c r="A4" s="2" t="s">
        <v>127</v>
      </c>
      <c r="B4" s="11" t="n">
        <f aca="false">OSoP_Reported!G14</f>
        <v>0.0005</v>
      </c>
      <c r="C4" s="12" t="n">
        <v>0.1</v>
      </c>
      <c r="D4" s="2" t="s">
        <v>128</v>
      </c>
      <c r="E4" s="4" t="s">
        <v>111</v>
      </c>
      <c r="F4" s="2" t="str">
        <f aca="false">IF(E4&lt;&gt;"Yes","N/A",IF(D4="At least",IF(B4&gt;=C4,"Yes","No"),IF(B4&lt;=C4,"Yes","No")))</f>
        <v>Yes</v>
      </c>
      <c r="G4" s="13" t="n">
        <f aca="false">IF(ISNUMBER(B4),IF(D4="At least",B4-C4,C4-B4),"n/a")</f>
        <v>0.0995</v>
      </c>
      <c r="H4" s="2" t="s">
        <v>129</v>
      </c>
    </row>
    <row r="5" customFormat="false" ht="23.25" hidden="false" customHeight="true" outlineLevel="0" collapsed="false">
      <c r="A5" s="2" t="s">
        <v>130</v>
      </c>
      <c r="B5" s="11" t="n">
        <f aca="false">OSoP_Reported!G15</f>
        <v>0.0836</v>
      </c>
      <c r="C5" s="12" t="n">
        <v>5</v>
      </c>
      <c r="D5" s="2" t="s">
        <v>128</v>
      </c>
      <c r="E5" s="4" t="s">
        <v>111</v>
      </c>
      <c r="F5" s="2" t="str">
        <f aca="false">IF(E5&lt;&gt;"Yes","N/A",IF(D5="At least",IF(B5&gt;=C5,"Yes","No"),IF(B5&lt;=C5,"Yes","No")))</f>
        <v>Yes</v>
      </c>
      <c r="G5" s="13" t="n">
        <f aca="false">IF(ISNUMBER(B5),IF(D5="At least",B5-C5,C5-B5),"n/a")</f>
        <v>4.9164</v>
      </c>
      <c r="H5" s="2"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28"/>
    <col collapsed="false" customWidth="true" hidden="false" outlineLevel="0" max="2" min="2" style="3" width="14"/>
    <col collapsed="false" customWidth="true" hidden="false" outlineLevel="0" max="3" min="3" style="3" width="30"/>
    <col collapsed="false" customWidth="true" hidden="false" outlineLevel="0" max="4" min="4" style="3" width="44"/>
    <col collapsed="false" customWidth="true" hidden="false" outlineLevel="0" max="5" min="5" style="3" width="22"/>
    <col collapsed="false" customWidth="true" hidden="false" outlineLevel="0" max="6" min="6" style="3" width="50"/>
  </cols>
  <sheetData>
    <row r="1" customFormat="false" ht="23.25" hidden="false" customHeight="true" outlineLevel="0" collapsed="false">
      <c r="A1" s="1" t="s">
        <v>132</v>
      </c>
      <c r="B1" s="1" t="s">
        <v>133</v>
      </c>
      <c r="C1" s="1" t="s">
        <v>134</v>
      </c>
      <c r="D1" s="1" t="s">
        <v>135</v>
      </c>
      <c r="E1" s="1" t="s">
        <v>136</v>
      </c>
      <c r="F1" s="1" t="s">
        <v>137</v>
      </c>
    </row>
    <row r="2" customFormat="false" ht="15" hidden="false" customHeight="true" outlineLevel="0" collapsed="false">
      <c r="A2" s="2" t="s">
        <v>138</v>
      </c>
      <c r="B2" s="14" t="n">
        <f aca="false">OSoP_Reported!G18</f>
        <v>18312</v>
      </c>
      <c r="C2" s="2" t="s">
        <v>139</v>
      </c>
      <c r="D2" s="2" t="s">
        <v>140</v>
      </c>
      <c r="E2" s="2" t="s">
        <v>141</v>
      </c>
      <c r="F2" s="2" t="s">
        <v>142</v>
      </c>
    </row>
    <row r="3" customFormat="false" ht="23.25" hidden="false" customHeight="true" outlineLevel="0" collapsed="false">
      <c r="A3" s="2" t="s">
        <v>143</v>
      </c>
      <c r="B3" s="14" t="n">
        <f aca="false">OSoP_Reported!G16</f>
        <v>428</v>
      </c>
      <c r="C3" s="2" t="s">
        <v>144</v>
      </c>
      <c r="D3" s="2" t="s">
        <v>145</v>
      </c>
      <c r="E3" s="2" t="s">
        <v>146</v>
      </c>
      <c r="F3" s="2" t="s">
        <v>142</v>
      </c>
    </row>
    <row r="4" customFormat="false" ht="23.25" hidden="false" customHeight="true" outlineLevel="0" collapsed="false">
      <c r="A4" s="2" t="s">
        <v>147</v>
      </c>
      <c r="B4" s="14" t="n">
        <f aca="false">OSoP_Reported!G17</f>
        <v>43</v>
      </c>
      <c r="C4" s="2" t="s">
        <v>148</v>
      </c>
      <c r="D4" s="2" t="s">
        <v>149</v>
      </c>
      <c r="E4" s="2" t="s">
        <v>150</v>
      </c>
      <c r="F4" s="2" t="s">
        <v>142</v>
      </c>
    </row>
    <row r="5" customFormat="false" ht="15" hidden="false" customHeight="true" outlineLevel="0" collapsed="false">
      <c r="A5" s="2" t="s">
        <v>151</v>
      </c>
      <c r="B5" s="15" t="n">
        <f aca="false">B2/60</f>
        <v>305.2</v>
      </c>
      <c r="C5" s="2" t="s">
        <v>152</v>
      </c>
      <c r="D5" s="2" t="s">
        <v>153</v>
      </c>
      <c r="E5" s="2" t="s">
        <v>154</v>
      </c>
      <c r="F5" s="2" t="s">
        <v>155</v>
      </c>
    </row>
    <row r="6" customFormat="false" ht="23.25" hidden="false" customHeight="true" outlineLevel="0" collapsed="false">
      <c r="A6" s="2" t="s">
        <v>156</v>
      </c>
      <c r="B6" s="15" t="n">
        <f aca="false">B2/B3</f>
        <v>42.785046728972</v>
      </c>
      <c r="C6" s="2" t="s">
        <v>157</v>
      </c>
      <c r="D6" s="2" t="s">
        <v>158</v>
      </c>
      <c r="E6" s="2" t="s">
        <v>154</v>
      </c>
      <c r="F6" s="2" t="s">
        <v>159</v>
      </c>
    </row>
    <row r="7" customFormat="false" ht="15" hidden="false" customHeight="true" outlineLevel="0" collapsed="false">
      <c r="A7" s="2" t="s">
        <v>160</v>
      </c>
      <c r="B7" s="15" t="n">
        <f aca="false">B4/B3</f>
        <v>0.100467289719626</v>
      </c>
      <c r="C7" s="2" t="s">
        <v>161</v>
      </c>
      <c r="D7" s="2" t="s">
        <v>158</v>
      </c>
      <c r="E7" s="2" t="s">
        <v>154</v>
      </c>
      <c r="F7"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14"/>
    <col collapsed="false" customWidth="true" hidden="false" outlineLevel="0" max="2" min="2" style="3" width="12"/>
    <col collapsed="false" customWidth="true" hidden="false" outlineLevel="0" max="3" min="3" style="3" width="10"/>
    <col collapsed="false" customWidth="true" hidden="false" outlineLevel="0" max="4" min="4" style="3" width="70"/>
  </cols>
  <sheetData>
    <row r="1" customFormat="false" ht="15" hidden="false" customHeight="true" outlineLevel="0" collapsed="false">
      <c r="A1" s="1" t="s">
        <v>163</v>
      </c>
      <c r="B1" s="1" t="s">
        <v>164</v>
      </c>
      <c r="C1" s="1" t="s">
        <v>165</v>
      </c>
      <c r="D1" s="1" t="s">
        <v>137</v>
      </c>
    </row>
    <row r="2" customFormat="false" ht="15" hidden="false" customHeight="true" outlineLevel="0" collapsed="false">
      <c r="A2" s="2" t="s">
        <v>66</v>
      </c>
      <c r="B2" s="2" t="s">
        <v>60</v>
      </c>
      <c r="C2" s="2"/>
      <c r="D2" s="2" t="s">
        <v>166</v>
      </c>
    </row>
    <row r="3" customFormat="false" ht="15" hidden="false" customHeight="true" outlineLevel="0" collapsed="false">
      <c r="A3" s="2" t="s">
        <v>71</v>
      </c>
      <c r="B3" s="2" t="s">
        <v>68</v>
      </c>
      <c r="C3" s="16" t="n">
        <f aca="false">OSoP_Reported!G10</f>
        <v>9</v>
      </c>
      <c r="D3" s="2" t="s">
        <v>167</v>
      </c>
    </row>
    <row r="4" customFormat="false" ht="15" hidden="false" customHeight="true" outlineLevel="0" collapsed="false">
      <c r="A4" s="2" t="s">
        <v>74</v>
      </c>
      <c r="B4" s="2" t="s">
        <v>60</v>
      </c>
      <c r="C4" s="2"/>
      <c r="D4" s="2"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4"/>
    <col collapsed="false" customWidth="true" hidden="false" outlineLevel="0" max="7" min="7" style="0" width="60"/>
  </cols>
  <sheetData>
    <row r="1" customFormat="false" ht="35.05" hidden="false" customHeight="false" outlineLevel="0" collapsed="false">
      <c r="A1" s="1" t="s">
        <v>168</v>
      </c>
      <c r="B1" s="1" t="s">
        <v>169</v>
      </c>
      <c r="C1" s="1" t="s">
        <v>170</v>
      </c>
      <c r="D1" s="1" t="s">
        <v>171</v>
      </c>
      <c r="E1" s="1" t="s">
        <v>172</v>
      </c>
      <c r="F1" s="1" t="s">
        <v>173</v>
      </c>
      <c r="G1" s="1" t="s">
        <v>34</v>
      </c>
    </row>
    <row r="2" customFormat="false" ht="23.85" hidden="false" customHeight="false" outlineLevel="0" collapsed="false">
      <c r="A2" s="2" t="s">
        <v>174</v>
      </c>
      <c r="B2" s="4" t="s">
        <v>175</v>
      </c>
      <c r="C2" s="4" t="n">
        <v>2</v>
      </c>
      <c r="D2" s="4" t="s">
        <v>176</v>
      </c>
      <c r="E2" s="4" t="n">
        <v>46</v>
      </c>
      <c r="F2" s="2" t="n">
        <f aca="false">E2-C2</f>
        <v>44</v>
      </c>
      <c r="G2" s="2" t="s">
        <v>177</v>
      </c>
    </row>
    <row r="3" customFormat="false" ht="23.85" hidden="false" customHeight="false" outlineLevel="0" collapsed="false">
      <c r="A3" s="2" t="s">
        <v>178</v>
      </c>
      <c r="B3" s="4" t="s">
        <v>179</v>
      </c>
      <c r="C3" s="4" t="n">
        <v>24</v>
      </c>
      <c r="D3" s="4" t="s">
        <v>180</v>
      </c>
      <c r="E3" s="4" t="n">
        <v>44</v>
      </c>
      <c r="F3" s="2" t="n">
        <f aca="false">E3-C3</f>
        <v>20</v>
      </c>
      <c r="G3" s="2" t="s">
        <v>177</v>
      </c>
    </row>
    <row r="4" customFormat="false" ht="23.85" hidden="false" customHeight="false" outlineLevel="0" collapsed="false">
      <c r="A4" s="2" t="s">
        <v>181</v>
      </c>
      <c r="B4" s="4" t="s">
        <v>179</v>
      </c>
      <c r="C4" s="4" t="n">
        <v>24</v>
      </c>
      <c r="D4" s="4" t="s">
        <v>176</v>
      </c>
      <c r="E4" s="4" t="n">
        <v>46</v>
      </c>
      <c r="F4" s="2" t="n">
        <f aca="false">E4-C4</f>
        <v>22</v>
      </c>
      <c r="G4" s="2" t="s">
        <v>177</v>
      </c>
    </row>
    <row r="5" customFormat="false" ht="23.85" hidden="false" customHeight="false" outlineLevel="0" collapsed="false">
      <c r="A5" s="2" t="s">
        <v>182</v>
      </c>
      <c r="B5" s="4" t="s">
        <v>183</v>
      </c>
      <c r="C5" s="4" t="n">
        <v>0</v>
      </c>
      <c r="D5" s="4" t="s">
        <v>183</v>
      </c>
      <c r="E5" s="4" t="n">
        <v>0</v>
      </c>
      <c r="F5" s="2" t="n">
        <f aca="false">E5-C5</f>
        <v>0</v>
      </c>
      <c r="G5" s="2" t="s">
        <v>177</v>
      </c>
    </row>
    <row r="6" customFormat="false" ht="15" hidden="false" customHeight="false" outlineLevel="0" collapsed="false">
      <c r="A6" s="2" t="s">
        <v>184</v>
      </c>
      <c r="B6" s="2"/>
      <c r="C6" s="2" t="n">
        <f aca="false">SUM(C2:C5)</f>
        <v>50</v>
      </c>
      <c r="D6" s="2"/>
      <c r="E6" s="2" t="n">
        <f aca="false">SUM(E2:E5)</f>
        <v>136</v>
      </c>
      <c r="F6" s="2" t="n">
        <f aca="false">E6-C6</f>
        <v>86</v>
      </c>
      <c r="G6" s="2"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3" min="3" style="0" width="10"/>
    <col collapsed="false" customWidth="true" hidden="false" outlineLevel="0" max="4" min="4" style="0" width="60"/>
  </cols>
  <sheetData>
    <row r="1" customFormat="false" ht="23.85" hidden="false" customHeight="false" outlineLevel="0" collapsed="false">
      <c r="A1" s="1" t="s">
        <v>186</v>
      </c>
      <c r="B1" s="1" t="s">
        <v>187</v>
      </c>
      <c r="C1" s="1" t="s">
        <v>188</v>
      </c>
      <c r="D1" s="1" t="s">
        <v>189</v>
      </c>
    </row>
    <row r="2" customFormat="false" ht="15" hidden="false" customHeight="false" outlineLevel="0" collapsed="false">
      <c r="A2" s="2" t="s">
        <v>190</v>
      </c>
      <c r="B2" s="8" t="n">
        <f aca="false">Restoration_Shares!F2</f>
        <v>100</v>
      </c>
      <c r="C2" s="2" t="s">
        <v>191</v>
      </c>
      <c r="D2" s="2" t="str">
        <f aca="false">"FY within-standard share: "&amp;TEXT(B2/100,"0.0%")&amp;"."</f>
        <v>FY within-standard share: 100.0%.</v>
      </c>
    </row>
    <row r="3" customFormat="false" ht="23.85" hidden="false" customHeight="false" outlineLevel="0" collapsed="false">
      <c r="A3" s="2" t="s">
        <v>192</v>
      </c>
      <c r="B3" s="2" t="s">
        <v>193</v>
      </c>
      <c r="C3" s="2" t="s">
        <v>193</v>
      </c>
      <c r="D3" s="2" t="s">
        <v>194</v>
      </c>
    </row>
    <row r="4" customFormat="false" ht="23.85" hidden="false" customHeight="false" outlineLevel="0" collapsed="false">
      <c r="A4" s="2" t="s">
        <v>195</v>
      </c>
      <c r="B4" s="2" t="s">
        <v>193</v>
      </c>
      <c r="C4" s="2" t="s">
        <v>193</v>
      </c>
      <c r="D4" s="2" t="s">
        <v>194</v>
      </c>
    </row>
    <row r="5" customFormat="false" ht="15" hidden="false" customHeight="false" outlineLevel="0" collapsed="false">
      <c r="A5" s="2" t="s">
        <v>196</v>
      </c>
      <c r="B5" s="8" t="n">
        <f aca="false">Threshold_Tests!B2</f>
        <v>100</v>
      </c>
      <c r="C5" s="2" t="s">
        <v>191</v>
      </c>
      <c r="D5" s="2" t="str">
        <f aca="false">"FY within-standard share: "&amp;TEXT(B5/100,"0.0%")&amp;"."</f>
        <v>FY within-standard share: 100.0%.</v>
      </c>
    </row>
    <row r="6" customFormat="false" ht="15" hidden="false" customHeight="false" outlineLevel="0" collapsed="false">
      <c r="A6" s="2" t="s">
        <v>197</v>
      </c>
      <c r="B6" s="2" t="s">
        <v>193</v>
      </c>
      <c r="C6" s="2" t="s">
        <v>193</v>
      </c>
      <c r="D6" s="2" t="s">
        <v>198</v>
      </c>
    </row>
    <row r="7" customFormat="false" ht="15" hidden="false" customHeight="false" outlineLevel="0" collapsed="false">
      <c r="A7" s="2" t="s">
        <v>199</v>
      </c>
      <c r="B7" s="11" t="n">
        <f aca="false">Threshold_Tests!B4</f>
        <v>0.0005</v>
      </c>
      <c r="C7" s="2" t="s">
        <v>200</v>
      </c>
      <c r="D7" s="2" t="str">
        <f aca="false">"FY faulty-bill share: "&amp;TEXT(B7/100,"0.0000%")&amp;"."</f>
        <v>FY faulty-bill share: 0.0005%.</v>
      </c>
    </row>
    <row r="8" customFormat="false" ht="15" hidden="false" customHeight="false" outlineLevel="0" collapsed="false">
      <c r="A8" s="2" t="s">
        <v>201</v>
      </c>
      <c r="B8" s="11" t="n">
        <f aca="false">Threshold_Tests!B5</f>
        <v>0.0836</v>
      </c>
      <c r="C8" s="2" t="s">
        <v>200</v>
      </c>
      <c r="D8" s="2" t="str">
        <f aca="false">"FY defective-meter share: "&amp;TEXT(B8/100,"0.0000%")&amp;"."</f>
        <v>FY defective-meter share: 0.0836%.</v>
      </c>
    </row>
    <row r="9" customFormat="false" ht="15" hidden="false" customHeight="false" outlineLevel="0" collapsed="false">
      <c r="A9" s="2" t="s">
        <v>202</v>
      </c>
      <c r="B9" s="14" t="n">
        <f aca="false">Reliability!B2</f>
        <v>18312</v>
      </c>
      <c r="C9" s="2" t="s">
        <v>203</v>
      </c>
      <c r="D9" s="2" t="str">
        <f aca="false">"FY SAIDI: "&amp;TEXT(B9,"#,##0")&amp;" minutes per kW of connected load."</f>
        <v>FY SAIDI: 18,312 minutes per kW of connected load.</v>
      </c>
    </row>
    <row r="10" customFormat="false" ht="15" hidden="false" customHeight="false" outlineLevel="0" collapsed="false">
      <c r="A10" s="2" t="s">
        <v>204</v>
      </c>
      <c r="B10" s="14" t="n">
        <f aca="false">Reliability!B3</f>
        <v>428</v>
      </c>
      <c r="C10" s="2" t="s">
        <v>203</v>
      </c>
      <c r="D10" s="2" t="str">
        <f aca="false">"FY SAIFI: "&amp;TEXT(B10,"#,##0")&amp;" interruptions per kW of connected load."</f>
        <v>FY SAIFI: 428 interruptions per kW of connected load.</v>
      </c>
    </row>
    <row r="11" customFormat="false" ht="15" hidden="false" customHeight="false" outlineLevel="0" collapsed="false">
      <c r="A11" s="2" t="s">
        <v>205</v>
      </c>
      <c r="B11" s="14" t="n">
        <f aca="false">Reliability!B4</f>
        <v>43</v>
      </c>
      <c r="C11" s="2" t="s">
        <v>203</v>
      </c>
      <c r="D11" s="2" t="str">
        <f aca="false">"FY MAIFI: "&amp;TEXT(B11,"#,##0")&amp;" momentary interruptions per kW of connected load."</f>
        <v>FY MAIFI: 43 momentary interruptions per kW of connected load.</v>
      </c>
    </row>
    <row r="12" customFormat="false" ht="15" hidden="false" customHeight="false" outlineLevel="0" collapsed="false">
      <c r="A12" s="2" t="s">
        <v>206</v>
      </c>
      <c r="B12" s="2" t="s">
        <v>193</v>
      </c>
      <c r="C12" s="2" t="s">
        <v>193</v>
      </c>
      <c r="D12" s="2" t="s">
        <v>198</v>
      </c>
    </row>
    <row r="13" customFormat="false" ht="15" hidden="false" customHeight="false" outlineLevel="0" collapsed="false">
      <c r="A13" s="2" t="s">
        <v>207</v>
      </c>
      <c r="B13" s="16" t="n">
        <f aca="false">Voltage_Cases!C3</f>
        <v>9</v>
      </c>
      <c r="C13" s="2" t="s">
        <v>208</v>
      </c>
      <c r="D13" s="2" t="str">
        <f aca="false">"FY HT cases: "&amp;B13&amp;"."</f>
        <v>FY HT cases: 9.</v>
      </c>
    </row>
    <row r="14" customFormat="false" ht="15" hidden="false" customHeight="false" outlineLevel="0" collapsed="false">
      <c r="A14" s="2" t="s">
        <v>209</v>
      </c>
      <c r="B14" s="17" t="n">
        <f aca="false">Accidents!E2</f>
        <v>46</v>
      </c>
      <c r="C14" s="2" t="s">
        <v>208</v>
      </c>
      <c r="D14" s="2" t="str">
        <f aca="false">"FY fatal human accidents: "&amp;B14&amp;"."</f>
        <v>FY fatal human accidents: 46.</v>
      </c>
    </row>
    <row r="15" customFormat="false" ht="15" hidden="false" customHeight="false" outlineLevel="0" collapsed="false">
      <c r="A15" s="2" t="s">
        <v>210</v>
      </c>
      <c r="B15" s="17" t="n">
        <f aca="false">Accidents!E3</f>
        <v>44</v>
      </c>
      <c r="C15" s="2" t="s">
        <v>208</v>
      </c>
      <c r="D15" s="2" t="str">
        <f aca="false">"FY non-fatal human accidents: "&amp;B15&amp;"."</f>
        <v>FY non-fatal human accidents: 44.</v>
      </c>
    </row>
    <row r="16" customFormat="false" ht="15" hidden="false" customHeight="false" outlineLevel="0" collapsed="false">
      <c r="A16" s="2" t="s">
        <v>211</v>
      </c>
      <c r="B16" s="17" t="n">
        <f aca="false">Accidents!E4</f>
        <v>46</v>
      </c>
      <c r="C16" s="2" t="s">
        <v>208</v>
      </c>
      <c r="D16" s="2" t="str">
        <f aca="false">"FY fatal animal accidents: "&amp;B16&amp;"."</f>
        <v>FY fatal animal accidents: 46.</v>
      </c>
    </row>
    <row r="17" customFormat="false" ht="15" hidden="false" customHeight="false" outlineLevel="0" collapsed="false">
      <c r="A17" s="2" t="s">
        <v>212</v>
      </c>
      <c r="B17" s="17" t="n">
        <f aca="false">Accidents!E5</f>
        <v>0</v>
      </c>
      <c r="C17" s="2" t="s">
        <v>208</v>
      </c>
      <c r="D17" s="2"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8"/>
    <col collapsed="false" customWidth="true" hidden="false" outlineLevel="0" max="4" min="4" style="0" width="12"/>
    <col collapsed="false" customWidth="true" hidden="false" outlineLevel="0" max="5" min="5" style="0" width="9"/>
    <col collapsed="false" customWidth="true" hidden="false" outlineLevel="0" max="7" min="6" style="0" width="40"/>
  </cols>
  <sheetData>
    <row r="1" customFormat="false" ht="35.05" hidden="false" customHeight="false" outlineLevel="0" collapsed="false">
      <c r="A1" s="1" t="s">
        <v>0</v>
      </c>
      <c r="B1" s="1" t="s">
        <v>213</v>
      </c>
      <c r="C1" s="1" t="s">
        <v>214</v>
      </c>
      <c r="D1" s="1" t="s">
        <v>215</v>
      </c>
      <c r="E1" s="1" t="s">
        <v>216</v>
      </c>
      <c r="F1" s="1" t="s">
        <v>217</v>
      </c>
      <c r="G1" s="1" t="s">
        <v>218</v>
      </c>
    </row>
    <row r="2" customFormat="false" ht="23.85" hidden="false" customHeight="false" outlineLevel="0" collapsed="false">
      <c r="A2" s="2" t="s">
        <v>219</v>
      </c>
      <c r="B2" s="4" t="n">
        <v>2</v>
      </c>
      <c r="C2" s="17" t="n">
        <f aca="false">Accidents!C2</f>
        <v>2</v>
      </c>
      <c r="D2" s="2" t="n">
        <f aca="false">C2-B2</f>
        <v>0</v>
      </c>
      <c r="E2" s="2" t="str">
        <f aca="false">IF(D2=0,"OK","FLAG")</f>
        <v>OK</v>
      </c>
      <c r="F2" s="2" t="s">
        <v>220</v>
      </c>
      <c r="G2" s="2" t="s">
        <v>41</v>
      </c>
    </row>
    <row r="3" customFormat="false" ht="23.85" hidden="false" customHeight="false" outlineLevel="0" collapsed="false">
      <c r="A3" s="2" t="s">
        <v>221</v>
      </c>
      <c r="B3" s="4" t="n">
        <v>24</v>
      </c>
      <c r="C3" s="17" t="n">
        <f aca="false">Accidents!C3</f>
        <v>24</v>
      </c>
      <c r="D3" s="2" t="n">
        <f aca="false">C3-B3</f>
        <v>0</v>
      </c>
      <c r="E3" s="2" t="str">
        <f aca="false">IF(D3=0,"OK","FLAG")</f>
        <v>OK</v>
      </c>
      <c r="F3" s="2" t="s">
        <v>220</v>
      </c>
      <c r="G3" s="2" t="s">
        <v>41</v>
      </c>
    </row>
    <row r="4" customFormat="false" ht="23.85" hidden="false" customHeight="false" outlineLevel="0" collapsed="false">
      <c r="A4" s="2" t="s">
        <v>222</v>
      </c>
      <c r="B4" s="4" t="n">
        <v>24</v>
      </c>
      <c r="C4" s="17" t="n">
        <f aca="false">Accidents!C4</f>
        <v>24</v>
      </c>
      <c r="D4" s="2" t="n">
        <f aca="false">C4-B4</f>
        <v>0</v>
      </c>
      <c r="E4" s="2" t="str">
        <f aca="false">IF(D4=0,"OK","FLAG")</f>
        <v>OK</v>
      </c>
      <c r="F4" s="2" t="s">
        <v>220</v>
      </c>
      <c r="G4" s="2" t="s">
        <v>41</v>
      </c>
    </row>
    <row r="5" customFormat="false" ht="23.85" hidden="false" customHeight="false" outlineLevel="0" collapsed="false">
      <c r="A5" s="2" t="s">
        <v>223</v>
      </c>
      <c r="B5" s="4" t="n">
        <v>0</v>
      </c>
      <c r="C5" s="17" t="n">
        <f aca="false">Accidents!C5</f>
        <v>0</v>
      </c>
      <c r="D5" s="2" t="n">
        <f aca="false">C5-B5</f>
        <v>0</v>
      </c>
      <c r="E5" s="2" t="str">
        <f aca="false">IF(D5=0,"OK","FLAG")</f>
        <v>OK</v>
      </c>
      <c r="F5" s="2" t="s">
        <v>220</v>
      </c>
      <c r="G5" s="2"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1" t="s">
        <v>224</v>
      </c>
      <c r="B1" s="1" t="s">
        <v>225</v>
      </c>
      <c r="C1" s="1" t="s">
        <v>226</v>
      </c>
    </row>
    <row r="2" customFormat="false" ht="23.85" hidden="false" customHeight="false" outlineLevel="0" collapsed="false">
      <c r="A2" s="2" t="s">
        <v>227</v>
      </c>
      <c r="B2" s="2" t="s">
        <v>228</v>
      </c>
      <c r="C2" s="2" t="s">
        <v>229</v>
      </c>
    </row>
    <row r="3" customFormat="false" ht="169.4" hidden="false" customHeight="false" outlineLevel="0" collapsed="false">
      <c r="A3" s="2" t="s">
        <v>230</v>
      </c>
      <c r="B3" s="2" t="s">
        <v>231</v>
      </c>
      <c r="C3" s="2" t="s">
        <v>232</v>
      </c>
    </row>
    <row r="4" customFormat="false" ht="15" hidden="false" customHeight="false" outlineLevel="0" collapsed="false">
      <c r="A4" s="2" t="s">
        <v>233</v>
      </c>
      <c r="B4" s="2" t="s">
        <v>228</v>
      </c>
      <c r="C4" s="2" t="s">
        <v>234</v>
      </c>
    </row>
    <row r="5" customFormat="false" ht="35.05" hidden="false" customHeight="false" outlineLevel="0" collapsed="false">
      <c r="A5" s="2" t="s">
        <v>235</v>
      </c>
      <c r="B5" s="2" t="s">
        <v>231</v>
      </c>
      <c r="C5" s="2" t="s">
        <v>236</v>
      </c>
    </row>
    <row r="6" customFormat="false" ht="23.85" hidden="false" customHeight="false" outlineLevel="0" collapsed="false">
      <c r="A6" s="2" t="s">
        <v>237</v>
      </c>
      <c r="B6" s="2" t="s">
        <v>228</v>
      </c>
      <c r="C6" s="2" t="s">
        <v>238</v>
      </c>
    </row>
    <row r="7" customFormat="false" ht="15" hidden="false" customHeight="false" outlineLevel="0" collapsed="false">
      <c r="A7" s="2" t="s">
        <v>239</v>
      </c>
      <c r="B7" s="2" t="s">
        <v>228</v>
      </c>
      <c r="C7" s="2" t="s">
        <v>240</v>
      </c>
    </row>
    <row r="8" customFormat="false" ht="23.85" hidden="false" customHeight="false" outlineLevel="0" collapsed="false">
      <c r="A8" s="2" t="s">
        <v>241</v>
      </c>
      <c r="B8" s="2" t="s">
        <v>228</v>
      </c>
      <c r="C8" s="2"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1" t="s">
        <v>224</v>
      </c>
      <c r="B1" s="1" t="s">
        <v>225</v>
      </c>
      <c r="C1" s="1" t="s">
        <v>243</v>
      </c>
    </row>
    <row r="2" customFormat="false" ht="35.05" hidden="false" customHeight="false" outlineLevel="0" collapsed="false">
      <c r="A2" s="2" t="s">
        <v>244</v>
      </c>
      <c r="B2" s="2" t="s">
        <v>228</v>
      </c>
      <c r="C2" s="2" t="s">
        <v>245</v>
      </c>
    </row>
    <row r="3" customFormat="false" ht="15" hidden="false" customHeight="false" outlineLevel="0" collapsed="false">
      <c r="A3" s="2" t="s">
        <v>246</v>
      </c>
      <c r="B3" s="2" t="s">
        <v>228</v>
      </c>
      <c r="C3" s="2" t="s">
        <v>247</v>
      </c>
    </row>
    <row r="4" customFormat="false" ht="15" hidden="false" customHeight="false" outlineLevel="0" collapsed="false">
      <c r="A4" s="2" t="s">
        <v>248</v>
      </c>
      <c r="B4" s="2" t="s">
        <v>228</v>
      </c>
      <c r="C4" s="2" t="s">
        <v>249</v>
      </c>
    </row>
    <row r="5" customFormat="false" ht="23.85" hidden="false" customHeight="false" outlineLevel="0" collapsed="false">
      <c r="A5" s="2" t="s">
        <v>250</v>
      </c>
      <c r="B5" s="2" t="s">
        <v>251</v>
      </c>
      <c r="C5" s="2" t="s">
        <v>252</v>
      </c>
    </row>
    <row r="6" customFormat="false" ht="23.85" hidden="false" customHeight="false" outlineLevel="0" collapsed="false">
      <c r="A6" s="2" t="s">
        <v>253</v>
      </c>
      <c r="B6" s="2" t="s">
        <v>228</v>
      </c>
      <c r="C6" s="2" t="s">
        <v>254</v>
      </c>
    </row>
    <row r="7" customFormat="false" ht="23.85" hidden="false" customHeight="false" outlineLevel="0" collapsed="false">
      <c r="A7" s="2" t="s">
        <v>255</v>
      </c>
      <c r="B7" s="2" t="s">
        <v>228</v>
      </c>
      <c r="C7" s="2" t="s">
        <v>256</v>
      </c>
    </row>
    <row r="8" customFormat="false" ht="23.85" hidden="false" customHeight="false" outlineLevel="0" collapsed="false">
      <c r="A8" s="2" t="s">
        <v>257</v>
      </c>
      <c r="B8" s="2" t="s">
        <v>228</v>
      </c>
      <c r="C8" s="2" t="s">
        <v>258</v>
      </c>
    </row>
    <row r="9" customFormat="false" ht="23.85" hidden="false" customHeight="false" outlineLevel="0" collapsed="false">
      <c r="A9" s="2" t="s">
        <v>259</v>
      </c>
      <c r="B9" s="2" t="s">
        <v>228</v>
      </c>
      <c r="C9" s="2" t="s">
        <v>260</v>
      </c>
    </row>
    <row r="10" customFormat="false" ht="15" hidden="false" customHeight="false" outlineLevel="0" collapsed="false">
      <c r="A10" s="2" t="s">
        <v>261</v>
      </c>
      <c r="B10" s="2" t="s">
        <v>228</v>
      </c>
      <c r="C10" s="2" t="s">
        <v>262</v>
      </c>
    </row>
    <row r="11" customFormat="false" ht="15" hidden="false" customHeight="false" outlineLevel="0" collapsed="false">
      <c r="A11" s="2" t="s">
        <v>263</v>
      </c>
      <c r="B11" s="2" t="s">
        <v>228</v>
      </c>
      <c r="C11" s="2" t="s">
        <v>264</v>
      </c>
    </row>
    <row r="12" customFormat="false" ht="15" hidden="false" customHeight="false" outlineLevel="0" collapsed="false">
      <c r="A12" s="2" t="s">
        <v>265</v>
      </c>
      <c r="B12" s="2" t="s">
        <v>228</v>
      </c>
      <c r="C12" s="2" t="s">
        <v>266</v>
      </c>
    </row>
    <row r="13" customFormat="false" ht="23.85" hidden="false" customHeight="false" outlineLevel="0" collapsed="false">
      <c r="A13" s="2" t="s">
        <v>267</v>
      </c>
      <c r="B13" s="2" t="s">
        <v>228</v>
      </c>
      <c r="C13" s="2" t="s">
        <v>268</v>
      </c>
    </row>
    <row r="14" customFormat="false" ht="15" hidden="false" customHeight="false" outlineLevel="0" collapsed="false">
      <c r="A14" s="2" t="s">
        <v>269</v>
      </c>
      <c r="B14" s="2" t="s">
        <v>228</v>
      </c>
      <c r="C14" s="2" t="s">
        <v>270</v>
      </c>
    </row>
    <row r="15" customFormat="false" ht="23.85" hidden="false" customHeight="false" outlineLevel="0" collapsed="false">
      <c r="A15" s="2" t="s">
        <v>271</v>
      </c>
      <c r="B15" s="2" t="s">
        <v>272</v>
      </c>
      <c r="C15" s="2" t="s">
        <v>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2026-10-14T08:55:56Z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