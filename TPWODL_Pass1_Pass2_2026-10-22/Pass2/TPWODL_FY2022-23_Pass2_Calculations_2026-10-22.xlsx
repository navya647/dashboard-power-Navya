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sheetId="1" state="visible" r:id="rId3"/>
    <sheet name="OSoP_Reported" sheetId="2" state="visible" r:id="rId4"/>
    <sheet name="Restoration_Shares" sheetId="3" state="visible" r:id="rId5"/>
    <sheet name="Threshold_Tests" sheetId="4" state="visible" r:id="rId6"/>
    <sheet name="Reliability" sheetId="5" state="visible" r:id="rId7"/>
    <sheet name="Voltage_Cases" sheetId="6" state="visible" r:id="rId8"/>
    <sheet name="Accidents" sheetId="7" state="visible" r:id="rId9"/>
    <sheet name="Dashboard_Transfer" sheetId="8" state="visible" r:id="rId10"/>
    <sheet name="Interyear_Continuity" sheetId="9" state="visible" r:id="rId11"/>
    <sheet name="PriorFY_Row_Check" sheetId="10" state="visible" r:id="rId12"/>
    <sheet name="QC_Gate" sheetId="11" state="visible" r:id="rId1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4" authorId="0">
      <text>
        <r>
          <rPr>
            <sz val="10"/>
            <rFont val="Arial"/>
            <family val="2"/>
          </rPr>
          <t xml:space="preserve">Row added with the further review.</t>
        </r>
      </text>
    </comment>
    <comment ref="A15" authorId="0">
      <text>
        <r>
          <rPr>
            <sz val="10"/>
            <rFont val="Arial"/>
            <family val="2"/>
          </rPr>
          <t xml:space="preserve">Row added with the further review.</t>
        </r>
      </text>
    </comment>
    <comment ref="A16" authorId="0">
      <text>
        <r>
          <rPr>
            <sz val="10"/>
            <rFont val="Arial"/>
            <family val="2"/>
          </rPr>
          <t xml:space="preserve">Row added with the further review.</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8" authorId="0">
      <text>
        <r>
          <rPr>
            <sz val="10"/>
            <rFont val="Arial"/>
            <family val="2"/>
          </rPr>
          <t xml:space="preserve">Added: values of all four licensees in the same S3 row. TPWODL's 0.0013 is far below the others (1.36, 13, 2.29), which supports reading the table as per cent but leaves TPWODL's scale unexplained. Result for TPWODL unchanged.</t>
        </r>
      </text>
    </comment>
    <comment ref="A9" authorId="0">
      <text>
        <r>
          <rPr>
            <sz val="10"/>
            <rFont val="Arial"/>
            <family val="2"/>
          </rPr>
          <t xml:space="preserve">Cross-check row added with the further review.</t>
        </r>
      </text>
    </comment>
    <comment ref="A10" authorId="0">
      <text>
        <r>
          <rPr>
            <sz val="10"/>
            <rFont val="Arial"/>
            <family val="2"/>
          </rPr>
          <t xml:space="preserve">Cross-check row added with the further review.</t>
        </r>
      </text>
    </comment>
    <comment ref="A11" authorId="0">
      <text>
        <r>
          <rPr>
            <sz val="10"/>
            <rFont val="Arial"/>
            <family val="2"/>
          </rPr>
          <t xml:space="preserve">Cross-check row added with the further review.</t>
        </r>
      </text>
    </comment>
    <comment ref="A14" authorId="0">
      <text>
        <r>
          <rPr>
            <sz val="10"/>
            <rFont val="Arial"/>
            <family val="2"/>
          </rPr>
          <t xml:space="preserve">Added: values of all four licensees in the same S3 row (0.1, 1.49, 0.0004, 0.14). TPWODL's result is unchanged.</t>
        </r>
      </text>
    </comment>
    <comment ref="A15" authorId="0">
      <text>
        <r>
          <rPr>
            <sz val="10"/>
            <rFont val="Arial"/>
            <family val="2"/>
          </rPr>
          <t xml:space="preserve">Cross-check row added with the further review.</t>
        </r>
      </text>
    </comment>
    <comment ref="A16" authorId="0">
      <text>
        <r>
          <rPr>
            <sz val="10"/>
            <rFont val="Arial"/>
            <family val="2"/>
          </rPr>
          <t xml:space="preserve">Cross-check row added with the further review.</t>
        </r>
      </text>
    </comment>
    <comment ref="A17" authorId="0">
      <text>
        <r>
          <rPr>
            <sz val="10"/>
            <rFont val="Arial"/>
            <family val="2"/>
          </rPr>
          <t xml:space="preserve">Cross-check row added with the further review.</t>
        </r>
      </text>
    </comment>
    <comment ref="A19" authorId="0">
      <text>
        <r>
          <rPr>
            <sz val="10"/>
            <rFont val="Arial"/>
            <family val="2"/>
          </rPr>
          <t xml:space="preserve">Cross-check row added with the further review.</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9" authorId="0">
      <text>
        <r>
          <rPr>
            <sz val="10"/>
            <rFont val="Arial"/>
            <family val="2"/>
          </rPr>
          <t xml:space="preserve">Row added with the further review.</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16" authorId="0">
      <text>
        <r>
          <rPr>
            <sz val="10"/>
            <rFont val="Arial"/>
            <family val="2"/>
          </rPr>
          <t xml:space="preserve">Check added with the further review.</t>
        </r>
      </text>
    </comment>
    <comment ref="A17" authorId="0">
      <text>
        <r>
          <rPr>
            <sz val="10"/>
            <rFont val="Arial"/>
            <family val="2"/>
          </rPr>
          <t xml:space="preserve">Check added with the further review.</t>
        </r>
      </text>
    </comment>
    <comment ref="A18" authorId="0">
      <text>
        <r>
          <rPr>
            <sz val="10"/>
            <rFont val="Arial"/>
            <family val="2"/>
          </rPr>
          <t xml:space="preserve">Check added with the further review.</t>
        </r>
      </text>
    </comment>
    <comment ref="A19" authorId="0">
      <text>
        <r>
          <rPr>
            <sz val="10"/>
            <rFont val="Arial"/>
            <family val="2"/>
          </rPr>
          <t xml:space="preserve">Check added with the further review.</t>
        </r>
      </text>
    </comment>
    <comment ref="A20" authorId="0">
      <text>
        <r>
          <rPr>
            <sz val="10"/>
            <rFont val="Arial"/>
            <family val="2"/>
          </rPr>
          <t xml:space="preserve">Check added with the further review.</t>
        </r>
      </text>
    </comment>
    <comment ref="A21" authorId="0">
      <text>
        <r>
          <rPr>
            <sz val="10"/>
            <rFont val="Arial"/>
            <family val="2"/>
          </rPr>
          <t xml:space="preserve">Check added with the further review.</t>
        </r>
      </text>
    </comment>
  </commentList>
</comments>
</file>

<file path=xl/sharedStrings.xml><?xml version="1.0" encoding="utf-8"?>
<sst xmlns="http://schemas.openxmlformats.org/spreadsheetml/2006/main" count="448" uniqueCount="308">
  <si>
    <t xml:space="preserve">Item</t>
  </si>
  <si>
    <t xml:space="preserve">Description</t>
  </si>
  <si>
    <t xml:space="preserve">Purpose</t>
  </si>
  <si>
    <t xml:space="preserve">Full calculation trail for TPWODL (Odisha), FY 2022-23 (Pass 1, permitted repository only). Applicable regulation re-established: OERC (Licensees' Standards of Performance) Regulations, 2004 (S1) as amended by the 1st Amendment Regulations, 2010 (S2); no repeal, replacement or later amendment found in the repository.</t>
  </si>
  <si>
    <t xml:space="preserve">Colour convention</t>
  </si>
  <si>
    <t xml:space="preserve">Blue = values transcribed from source documents; black = formulas; green = links to other sheets.</t>
  </si>
  <si>
    <t xml:space="preserve">Reported-performance source</t>
  </si>
  <si>
    <t xml:space="preserve">OERC statement 'Performance of Electricity Distribution Companies in Odisha during the FY 2022-23 (as reported and furnished through an affidavit): Achievement on Overall Standards of Performance' (S3), single page, TPWODL column 'For the year 2022-23'. All values are annual. Values transcribed in OSoP_Reported; the TPWODL column alignment was verified against a rendered image of the page.</t>
  </si>
  <si>
    <t xml:space="preserve">Restoration shares</t>
  </si>
  <si>
    <t xml:space="preserve">S3 reports annual within-standard shares for urban and rural areas separately. S1 Sch. II sets one aggregate threshold over total cases. The combined FY share lies between the two area shares for any case weights. Where both equal 100.00% the combined share is 100.0% without case counts (fuse-off, line breakdown). Where they differ (distribution transformer: 99.08 / 97.33) the combined share is not derived, because case counts are not reported; compliance is nevertheless certain because the lower area share is at or above the threshold (Restoration_Shares).</t>
  </si>
  <si>
    <t xml:space="preserve">Ratio standards</t>
  </si>
  <si>
    <t xml:space="preserve">Faulty-bill share (not more than 0.1%) and defective-meter share (not more than 5%) are single annual reported values compared directly with the S1 threshold. Values read as per cent per the S3 labels; the result is unchanged if they are read as fractions (Threshold_Tests). Scheduled-outage and street-light rows are not compared (see Dashboard comparison decisions).</t>
  </si>
  <si>
    <t xml:space="preserve">Reliability indices</t>
  </si>
  <si>
    <t xml:space="preserve">S1 Sch. II 1.5 formulas (p.15): SAIFI = sum(Ai x Ni) / Nt; SAIDI = sum(Bi x Ni) / Nt; MAIFI = sum(Ci x Ni) / Nt, Ni = connected load of feeder i affected, Nt = total 11 kV connected load. S3 reports annual values 'faced by 1 KW connected load' with units (Nos.) and (Minutes). No components are reported, so no reconstruction is possible or needed; values are used as reported (Reliability).</t>
  </si>
  <si>
    <t xml:space="preserve">Voltage cases</t>
  </si>
  <si>
    <t xml:space="preserve">S3 reports HT 1.5 under 'No. of cases'; EHT and LT '--'. The value is fractional, and no unit or reporting instruction was found in S1, S2 or S3, so the unit is recorded as not established and no comparison is made (Voltage_Cases).</t>
  </si>
  <si>
    <t xml:space="preserve">Accidents</t>
  </si>
  <si>
    <t xml:space="preserve">S3 'No. of accident cases' for FY 2021-22 and FY 2022-23. FY 2022-23 counts used; FY 2021-22 counts reconcile with the FY 2021-22 workbook (Interyear_Continuity).</t>
  </si>
  <si>
    <t xml:space="preserve">Annualisation</t>
  </si>
  <si>
    <t xml:space="preserve">All reported values are annual; no annualisation, summation or averaging of sub-annual values was performed. No unit conversions were required (SAIDI already in minutes).</t>
  </si>
  <si>
    <t xml:space="preserve">Assumptions</t>
  </si>
  <si>
    <t xml:space="preserve">None beyond the documented treatments: (i) Sch. I 1.2 time limits applied to Sch. II 1.1 (cross-reference flag); (ii) 'towns and cities' treated as 'urban areas'; (iii) S3 faulty-bill parameter treated as the S1 billing-mistake parameter; (iv) faulty-bill and defective-meter values read as per cent.</t>
  </si>
  <si>
    <t xml:space="preserve">Template</t>
  </si>
  <si>
    <t xml:space="preserve">TPWODL FY 2021-22 workbooks used as the primary formatting template; all FY 2022-23 values, units, thresholds and comparison decisions re-established from the current sources.</t>
  </si>
  <si>
    <t xml:space="preserve">Dashboard transfer</t>
  </si>
  <si>
    <t xml:space="preserve">Dashboard_Transfer links each main-sheet value to its calculation cell and builds the annualised text with formulas; QC_Gate records the final checks.</t>
  </si>
  <si>
    <t xml:space="preserve">Verification of reported values</t>
  </si>
  <si>
    <t xml:space="preserve">No second public copy of the FY 2022-23 statement was located, so the TPWODL values rest on the supplied file (column alignment verified on a rendered image). Cross-licensee scale checks for the bill and meter shares are in Threshold_Tests.</t>
  </si>
  <si>
    <t xml:space="preserve">Regulatory status</t>
  </si>
  <si>
    <t xml:space="preserve">S1 as amended by S2 remains the applicable instrument for FY 2022-23: OERC listings show no other final amendment, and an OERC notice of 22 September 2022 states the regulations still required amendment. Draft amendments (2019, 2025) were not used. The Rights of Consumers Rules, 2020 require a Commission specification of reliability parameters; none was located.</t>
  </si>
  <si>
    <t xml:space="preserve">Outcome</t>
  </si>
  <si>
    <t xml:space="preserve">No reported value, unit, benchmark, comparison decision or compliance result changed. Changes are documentation (source links, gazette details, DISCOM name) and cross-checks. An unresolved discrepancy with the Guaranteed Standards report is listed in the dashboard workbook's Review_Items.</t>
  </si>
  <si>
    <t xml:space="preserve">Ref</t>
  </si>
  <si>
    <t xml:space="preserve">Parameter (as published)</t>
  </si>
  <si>
    <t xml:space="preserve">Area</t>
  </si>
  <si>
    <t xml:space="preserve">Minimum target fixed by the Commission (as printed)</t>
  </si>
  <si>
    <t xml:space="preserve">Target (numeric)</t>
  </si>
  <si>
    <t xml:space="preserve">TPWODL FY 2022-23 (as printed)</t>
  </si>
  <si>
    <t xml:space="preserve">TPWODL value (numeric)</t>
  </si>
  <si>
    <t xml:space="preserve">Unit (as published)</t>
  </si>
  <si>
    <t xml:space="preserve">Source</t>
  </si>
  <si>
    <t xml:space="preserve">R1</t>
  </si>
  <si>
    <t xml:space="preserve">Rectification of fuse-off call within 6 hrs. of receiving the complaint in urban areas</t>
  </si>
  <si>
    <t xml:space="preserve">Urban</t>
  </si>
  <si>
    <t xml:space="preserve">90</t>
  </si>
  <si>
    <t xml:space="preserve">100.00</t>
  </si>
  <si>
    <t xml:space="preserve">%</t>
  </si>
  <si>
    <t xml:space="preserve">S3, OERC Achievement on Overall Standards of Performance FY 2022-23, p.1</t>
  </si>
  <si>
    <t xml:space="preserve">R2</t>
  </si>
  <si>
    <t xml:space="preserve">Rectification of fuse-off call within 24 hrs. of receiving the complaint in rural areas</t>
  </si>
  <si>
    <t xml:space="preserve">Rural</t>
  </si>
  <si>
    <t xml:space="preserve">R3</t>
  </si>
  <si>
    <t xml:space="preserve">Restoration of line break-down within 12 hrs. of receiving the complaint in urban areas</t>
  </si>
  <si>
    <t xml:space="preserve">95</t>
  </si>
  <si>
    <t xml:space="preserve">R4</t>
  </si>
  <si>
    <t xml:space="preserve">Restoration of line break-down within 24 hrs. of receiving the complaint in rural areas</t>
  </si>
  <si>
    <t xml:space="preserve">R5</t>
  </si>
  <si>
    <t xml:space="preserve">Replacement of Distribution Transformer within 24 hrs. of receiving the complaint in urban areas</t>
  </si>
  <si>
    <t xml:space="preserve">99.08</t>
  </si>
  <si>
    <t xml:space="preserve">R6</t>
  </si>
  <si>
    <t xml:space="preserve">Replacement of Distribution Transformer within 48 hrs. of receiving the complaint in rural areas</t>
  </si>
  <si>
    <t xml:space="preserve">97.33</t>
  </si>
  <si>
    <t xml:space="preserve">R7</t>
  </si>
  <si>
    <t xml:space="preserve">Completing the work within 12 hrs. of the scheduled outage before 5 PM/6 PM</t>
  </si>
  <si>
    <t xml:space="preserve">All</t>
  </si>
  <si>
    <t xml:space="preserve">--</t>
  </si>
  <si>
    <t xml:space="preserve">R8</t>
  </si>
  <si>
    <t xml:space="preserve">No. of cases in which voltage at the point of commencement of supply exceeded 3% of the voltage limits: EHT</t>
  </si>
  <si>
    <t xml:space="preserve">count</t>
  </si>
  <si>
    <t xml:space="preserve">R9</t>
  </si>
  <si>
    <t xml:space="preserve">Same: HT (S3 wording: 'No. of cases in which voltage at the point of commencement of supply exceeded 3% of the voltage limits')</t>
  </si>
  <si>
    <t xml:space="preserve">EHT</t>
  </si>
  <si>
    <t xml:space="preserve">(blank)</t>
  </si>
  <si>
    <t xml:space="preserve">1.5</t>
  </si>
  <si>
    <t xml:space="preserve">count (as labelled; value fractional)</t>
  </si>
  <si>
    <t xml:space="preserve">R10</t>
  </si>
  <si>
    <t xml:space="preserve">Same: HT</t>
  </si>
  <si>
    <t xml:space="preserve">HT</t>
  </si>
  <si>
    <t xml:space="preserve">R11</t>
  </si>
  <si>
    <t xml:space="preserve">Same: LT</t>
  </si>
  <si>
    <t xml:space="preserve">LT</t>
  </si>
  <si>
    <t xml:space="preserve">R12</t>
  </si>
  <si>
    <t xml:space="preserve">Rectification of Street light fault within 6 hrs. of receiving the complaint</t>
  </si>
  <si>
    <t xml:space="preserve">R13</t>
  </si>
  <si>
    <t xml:space="preserve">No. of faulty bills prepared as a percentage of total no. of bills issued</t>
  </si>
  <si>
    <t xml:space="preserve">0.1</t>
  </si>
  <si>
    <t xml:space="preserve">0.0004</t>
  </si>
  <si>
    <t xml:space="preserve">R14</t>
  </si>
  <si>
    <t xml:space="preserve">No. of faulty/defective meters as a percentage of total no. of existing meters</t>
  </si>
  <si>
    <t xml:space="preserve">5</t>
  </si>
  <si>
    <t xml:space="preserve">0.0013</t>
  </si>
  <si>
    <t xml:space="preserve">R15</t>
  </si>
  <si>
    <t xml:space="preserve">Total no. of interruption each lasting more than 5 minutes faced by 1 KW connected load (SAIFI)(Nos.)</t>
  </si>
  <si>
    <t xml:space="preserve">468</t>
  </si>
  <si>
    <t xml:space="preserve">Nos. per 1 kW</t>
  </si>
  <si>
    <t xml:space="preserve">R16</t>
  </si>
  <si>
    <t xml:space="preserve">Total no. of interruption each lasting less than 5 minutes faced by 1 KW connected load (MAIFI)(Nos.)</t>
  </si>
  <si>
    <t xml:space="preserve">40</t>
  </si>
  <si>
    <t xml:space="preserve">R17</t>
  </si>
  <si>
    <t xml:space="preserve">Total duration of interruption in minutes each 1 KW connected load (SAIDI)(Minutes)</t>
  </si>
  <si>
    <t xml:space="preserve">19770</t>
  </si>
  <si>
    <t xml:space="preserve">Minutes per 1 kW</t>
  </si>
  <si>
    <t xml:space="preserve">Parameter</t>
  </si>
  <si>
    <t xml:space="preserve">Urban share (%)</t>
  </si>
  <si>
    <t xml:space="preserve">Rural share (%)</t>
  </si>
  <si>
    <t xml:space="preserve">Lower area share (%)</t>
  </si>
  <si>
    <t xml:space="preserve">Higher area share (%)</t>
  </si>
  <si>
    <t xml:space="preserve">Combined FY share (%)</t>
  </si>
  <si>
    <t xml:space="preserve">Regulatory threshold (%) (S1)</t>
  </si>
  <si>
    <t xml:space="preserve">Commission target shown in S3 (%)</t>
  </si>
  <si>
    <t xml:space="preserve">Threshold check (S1 = S3)</t>
  </si>
  <si>
    <t xml:space="preserve">Comparison possible? (dashboard decision)</t>
  </si>
  <si>
    <t xml:space="preserve">Aggregate test on S1 basis</t>
  </si>
  <si>
    <t xml:space="preserve">Area-level test (S3 presentation)</t>
  </si>
  <si>
    <t xml:space="preserve">Source / note</t>
  </si>
  <si>
    <t xml:space="preserve">Normal fuse-off call rectification</t>
  </si>
  <si>
    <t xml:space="preserve">Yes</t>
  </si>
  <si>
    <t xml:space="preserve">S1 Sch. II 1.1 (p.14); time limits S1 Sch. I 1.2 (p.7); values OSoP_Reported R1-R2</t>
  </si>
  <si>
    <t xml:space="preserve">Line breakdown restoration</t>
  </si>
  <si>
    <t xml:space="preserve">No</t>
  </si>
  <si>
    <t xml:space="preserve">S1 Sch. II 1.2 (p.14); values OSoP_Reported R3-R4. Comparison not possible: S3 time from receipt of complaint, S1 from occurrence</t>
  </si>
  <si>
    <t xml:space="preserve">Distribution transformer failure restoration</t>
  </si>
  <si>
    <t xml:space="preserve">S1 Sch. II 1.3 (p.14); time limits S1 Sch. I 1.4 (p.7); values OSoP_Reported R5-R6. Area shares differ (99.08 / 97.33); combined share not derivable without case counts, aggregate test passed because the lower area share exceeds the threshold</t>
  </si>
  <si>
    <t xml:space="preserve">Reported value (%)</t>
  </si>
  <si>
    <t xml:space="preserve">Direction</t>
  </si>
  <si>
    <t xml:space="preserve">Test result (original basis)</t>
  </si>
  <si>
    <t xml:space="preserve">Margin to threshold (pp)</t>
  </si>
  <si>
    <t xml:space="preserve">Scheduled outage share</t>
  </si>
  <si>
    <t xml:space="preserve">At least</t>
  </si>
  <si>
    <t xml:space="preserve">S1 Sch. II 1.4 (p.14). Comparison not possible: standard also requires advance notice and a daily duration cap; reported item defined only as completion within 12 hours before 5 PM/6 PM</t>
  </si>
  <si>
    <t xml:space="preserve">Street-light fault rectification share</t>
  </si>
  <si>
    <t xml:space="preserve">S1 Sch. II 1.8 (p.16). No value reported for FY 2022-23</t>
  </si>
  <si>
    <t xml:space="preserve">Faulty-bill share</t>
  </si>
  <si>
    <t xml:space="preserve">Not more than</t>
  </si>
  <si>
    <t xml:space="preserve">S1 Sch. II 1.9 (p.16); reported 0.0004 read as per cent; result unchanged if read as a fraction (0.04%)</t>
  </si>
  <si>
    <t xml:space="preserve">Defective-meter share</t>
  </si>
  <si>
    <t xml:space="preserve">S1 Sch. II 1.10 (p.16); reported 0.0013 read as per cent; result unchanged if read as a fraction (0.13%)</t>
  </si>
  <si>
    <t xml:space="preserve">Scale cross-check: defective-meter share (% of meters) by licensee</t>
  </si>
  <si>
    <t xml:space="preserve">FY 2022-23 (S3)</t>
  </si>
  <si>
    <t xml:space="preserve">Ceiling (S1)</t>
  </si>
  <si>
    <t xml:space="preserve">FY 2022-23 value above the ceiling?</t>
  </si>
  <si>
    <t xml:space="preserve">TPCODL</t>
  </si>
  <si>
    <t xml:space="preserve">TPNODL</t>
  </si>
  <si>
    <t xml:space="preserve">TPWODL</t>
  </si>
  <si>
    <t xml:space="preserve">TPSODL</t>
  </si>
  <si>
    <t xml:space="preserve">Scale cross-check: faulty-bill share (% of bills) by licensee</t>
  </si>
  <si>
    <t xml:space="preserve">Ceilings: S1 Sch. II 1.9 and 1.10 (S1 web copy)</t>
  </si>
  <si>
    <t xml:space="preserve">Index</t>
  </si>
  <si>
    <t xml:space="preserve">Reported FY value</t>
  </si>
  <si>
    <t xml:space="preserve">Unit (dashboard)</t>
  </si>
  <si>
    <t xml:space="preserve">Unit evidence</t>
  </si>
  <si>
    <t xml:space="preserve">Formula (S1 Sch. II 1.5, p.15)</t>
  </si>
  <si>
    <t xml:space="preserve">Note</t>
  </si>
  <si>
    <t xml:space="preserve">SAIDI</t>
  </si>
  <si>
    <t xml:space="preserve">Minutes per kW of connected load</t>
  </si>
  <si>
    <t xml:space="preserve">S3 '(Minutes)', 'each 1 KW connected load'</t>
  </si>
  <si>
    <t xml:space="preserve">Σ(Bi×Ni) ÷ Nt</t>
  </si>
  <si>
    <t xml:space="preserve">Annual value; no components reported</t>
  </si>
  <si>
    <t xml:space="preserve">SAIFI</t>
  </si>
  <si>
    <t xml:space="preserve">Interruptions per kW of connected load</t>
  </si>
  <si>
    <t xml:space="preserve">S3 '(Nos.)', 'faced by 1 KW connected load'; S1 formula (count × kW ÷ kW)</t>
  </si>
  <si>
    <t xml:space="preserve">Σ(Ai×Ni) ÷ Nt</t>
  </si>
  <si>
    <t xml:space="preserve">MAIFI</t>
  </si>
  <si>
    <t xml:space="preserve">Momentary interruptions per kW of connected load</t>
  </si>
  <si>
    <t xml:space="preserve">S3 '(Nos.)', 'faced by 1 KW connected load'; S1 formula</t>
  </si>
  <si>
    <t xml:space="preserve">Σ(Ci×Ni) ÷ Nt</t>
  </si>
  <si>
    <t xml:space="preserve">SAIDI in hours (information)</t>
  </si>
  <si>
    <t xml:space="preserve">Hours per kW of connected load</t>
  </si>
  <si>
    <t xml:space="preserve">Conversion ÷ 60</t>
  </si>
  <si>
    <t xml:space="preserve">Not applicable</t>
  </si>
  <si>
    <t xml:space="preserve">Not used on the dashboard</t>
  </si>
  <si>
    <t xml:space="preserve">Plausibility: SAIDI ÷ SAIFI</t>
  </si>
  <si>
    <t xml:space="preserve">Minutes per interruption</t>
  </si>
  <si>
    <t xml:space="preserve">Derived</t>
  </si>
  <si>
    <t xml:space="preserve">Plausibility check only; CAIDI is not specified in S1 or reported in S3 and is not a dashboard indicator</t>
  </si>
  <si>
    <t xml:space="preserve">Plausibility: MAIFI ÷ SAIFI</t>
  </si>
  <si>
    <t xml:space="preserve">Ratio</t>
  </si>
  <si>
    <t xml:space="preserve">Plausibility check only</t>
  </si>
  <si>
    <t xml:space="preserve">Voltage level</t>
  </si>
  <si>
    <t xml:space="preserve">As printed</t>
  </si>
  <si>
    <t xml:space="preserve">Numeric</t>
  </si>
  <si>
    <t xml:space="preserve">No value reported</t>
  </si>
  <si>
    <t xml:space="preserve">Reported; unit not established (fractional value under a 'No. of cases' label)</t>
  </si>
  <si>
    <t xml:space="preserve">Category</t>
  </si>
  <si>
    <t xml:space="preserve">FY 2021-22 (as printed)</t>
  </si>
  <si>
    <t xml:space="preserve">FY 2021-22</t>
  </si>
  <si>
    <t xml:space="preserve">FY 2022-23 (as printed)</t>
  </si>
  <si>
    <t xml:space="preserve">FY 2022-23</t>
  </si>
  <si>
    <t xml:space="preserve">Change (FY 2022-23 - FY 2021-22)</t>
  </si>
  <si>
    <t xml:space="preserve">Fatal Human</t>
  </si>
  <si>
    <t xml:space="preserve">02</t>
  </si>
  <si>
    <t xml:space="preserve">S3, OERC Achievement on Overall Standards of Performance FY 2022-23, p.1, accident table, TPWODL columns 21-22 / 22-23</t>
  </si>
  <si>
    <t xml:space="preserve">Non-fatal Human</t>
  </si>
  <si>
    <t xml:space="preserve">16</t>
  </si>
  <si>
    <t xml:space="preserve">24</t>
  </si>
  <si>
    <t xml:space="preserve">Fatal Animal</t>
  </si>
  <si>
    <t xml:space="preserve">53</t>
  </si>
  <si>
    <t xml:space="preserve">Non-fatal Animal</t>
  </si>
  <si>
    <t xml:space="preserve">00</t>
  </si>
  <si>
    <t xml:space="preserve">Total (all categories)</t>
  </si>
  <si>
    <t xml:space="preserve">Computed</t>
  </si>
  <si>
    <t xml:space="preserve">Main-sheet indicator</t>
  </si>
  <si>
    <t xml:space="preserve">FY value (formula)</t>
  </si>
  <si>
    <t xml:space="preserve">Format</t>
  </si>
  <si>
    <t xml:space="preserve">Dashboard text (Annualised / standardised reported data)</t>
  </si>
  <si>
    <t xml:space="preserve">Normal fuse-off call rectification — share resolved within standard</t>
  </si>
  <si>
    <t xml:space="preserve">0.0%</t>
  </si>
  <si>
    <t xml:space="preserve">Line breakdown restoration — share resolved within standard</t>
  </si>
  <si>
    <t xml:space="preserve">Distribution transformer failure restoration — share resolved within standard</t>
  </si>
  <si>
    <t xml:space="preserve">n/a</t>
  </si>
  <si>
    <t xml:space="preserve">Not annualised: case counts required to combine the urban and rural shares are not reported.</t>
  </si>
  <si>
    <t xml:space="preserve">Scheduled outage restoration — share resolved within standard</t>
  </si>
  <si>
    <t xml:space="preserve">Street-light fault rectification — share resolved within standard</t>
  </si>
  <si>
    <t xml:space="preserve">Not annualised: no reported value.</t>
  </si>
  <si>
    <t xml:space="preserve">Billing mistakes — faulty bills as share of bills issued</t>
  </si>
  <si>
    <t xml:space="preserve">0.0000%</t>
  </si>
  <si>
    <t xml:space="preserve">Defective meters — share of meters in service</t>
  </si>
  <si>
    <t xml:space="preserve">System Average Interruption Duration Index (SAIDI)</t>
  </si>
  <si>
    <t xml:space="preserve">#,##0</t>
  </si>
  <si>
    <t xml:space="preserve">System Average Interruption Frequency Index (SAIFI)</t>
  </si>
  <si>
    <t xml:space="preserve">Momentary Average Interruption Frequency Index (MAIFI)</t>
  </si>
  <si>
    <t xml:space="preserve">Supply frequency outside ±3% of 50 Hz — number of hourly measurements</t>
  </si>
  <si>
    <t xml:space="preserve">Supply voltage at point of supply outside limits — number of cases (EHT / HT / LT)</t>
  </si>
  <si>
    <t xml:space="preserve">0.0</t>
  </si>
  <si>
    <t xml:space="preserve">Fatal electrical accidents — humans</t>
  </si>
  <si>
    <t xml:space="preserve">0</t>
  </si>
  <si>
    <t xml:space="preserve">Non-fatal electrical accidents — humans</t>
  </si>
  <si>
    <t xml:space="preserve">Fatal electrical accidents — animals</t>
  </si>
  <si>
    <t xml:space="preserve">Non-fatal electrical accidents — animals</t>
  </si>
  <si>
    <t xml:space="preserve">FY 2021-22 value in the FY 2021-22 workbook</t>
  </si>
  <si>
    <t xml:space="preserve">FY 2021-22 value shown in the FY 2022-23 statement</t>
  </si>
  <si>
    <t xml:space="preserve">Difference</t>
  </si>
  <si>
    <t xml:space="preserve">Status</t>
  </si>
  <si>
    <t xml:space="preserve">FY 2021-22 source</t>
  </si>
  <si>
    <t xml:space="preserve">FY 2022-23 source</t>
  </si>
  <si>
    <t xml:space="preserve">Fatal human accidents</t>
  </si>
  <si>
    <t xml:space="preserve">TPWODL FY 2021-22 Calculations &gt; Accidents (S3 FY 2021-22 statement, p.1)</t>
  </si>
  <si>
    <t xml:space="preserve">Non-fatal human accidents</t>
  </si>
  <si>
    <t xml:space="preserve">Fatal animal accidents</t>
  </si>
  <si>
    <t xml:space="preserve">Non-fatal animal accidents</t>
  </si>
  <si>
    <t xml:space="preserve">Check</t>
  </si>
  <si>
    <t xml:space="preserve">Result</t>
  </si>
  <si>
    <t xml:space="preserve">Detail</t>
  </si>
  <si>
    <t xml:space="preserve">Row set vs FY 2021-22 main sheet</t>
  </si>
  <si>
    <t xml:space="preserve">Pass</t>
  </si>
  <si>
    <t xml:space="preserve">16 rows (FY 2021-22: 16); 16 of 16 indicator names identical in the same order. No row added or removed because the Commission's statement has the same parameters.</t>
  </si>
  <si>
    <t xml:space="preserve">Row-by-row field comparison</t>
  </si>
  <si>
    <t xml:space="preserve">Pass (genuine differences)</t>
  </si>
  <si>
    <t xml:space="preserve">Fields changed per row (excluding financial year): Normal fuse-off call rectification: no change other than financial year; Line breakdown restoration: no change other than financial year; Distribution transformer failure restoration: Reported data, Annualised / standardised reported data, Documentation of standardisation / transformation; Scheduled outage restoration: Reported data, Annualised / standardised reported data, If comparison is not possible, why?, Interpretation, Documentation of standardisation / transformation; Street-light fault rectification: Reported data, Annualised / standardised reported data, If comparison is not possible, why?, Interpretation, Documentation of standardisation / transformation; Billing mistakes: Reported data, Annualised / standardised reported data, Interpretation; Defective meters: Reported data, Annualised / standardised reported data, Interpretation; System Average Interruption Duration Index (SAIDI): Reported data, Annualised / standardised reported data, If comparison is not possible, why?; System Average Interruption Frequency Index (SAIFI): Reported data, Annualised / standardised reported data, If comparison is not possible, why?; Momentary Average Interruption Frequency Index (MAIFI): Reported data, Annualised / standardised reported data, If comparison is not possible, why?; Supply frequency outside ±3% of 50 Hz: Reported data, If comparison is not possible, why?; Supply voltage at point of supply outside limits: Reported data, Annualised / standardised reported data, If comparison is not possible, why?, Interpretation, Documentation of standardisation / transformation; Fatal electrical accidents: no change other than financial year; Non-fatal electrical accidents: Reported data, Annualised / standardised reported data; Fatal electrical accidents: Reported data, Annualised / standardised reported data; Non-fatal electrical accidents: no change other than financial year</t>
  </si>
  <si>
    <t xml:space="preserve">Rows unchanged apart from financial year</t>
  </si>
  <si>
    <t xml:space="preserve">4 rows: Normal fuse-off call rectification, Line breakdown restoration, Fatal electrical accidents, Non-fatal electrical accidents</t>
  </si>
  <si>
    <t xml:space="preserve">Rows changed in data fields only</t>
  </si>
  <si>
    <t xml:space="preserve">Non-fatal electrical accidents, Fatal electrical accidents</t>
  </si>
  <si>
    <t xml:space="preserve">Comparison / compliance logic</t>
  </si>
  <si>
    <t xml:space="preserve">Scheduled outage: now has a reported value but is marked not comparable (standard also requires advance notice and a duration cap). Street light: now no value. Distribution transformer: area shares differ, compliance shown by the lower-share test. Faulty bills and defective meters: now clearly below the limits. 4 rows Yes/Yes; 12 rows No/N/A.</t>
  </si>
  <si>
    <t xml:space="preserve">Supporting-sheet and calculations structure</t>
  </si>
  <si>
    <t xml:space="preserve">Same sheet set as FY 2021-22, plus Voltage_Cases and Interyear_Continuity; Reference_Consistency retained as this sheet's counterpart (PriorFY_Row_Check).</t>
  </si>
  <si>
    <t xml:space="preserve">Substantive evidence re-established</t>
  </si>
  <si>
    <t xml:space="preserve">All values, thresholds, page references, flags and review items re-extracted from the FY 2022-23 statement and S1/S2; none copied from the previous year.</t>
  </si>
  <si>
    <t xml:space="preserve">Consistency with the completed FY 2021-22 dataset</t>
  </si>
  <si>
    <t xml:space="preserve">DISCOM field, FY notation convention and source numbering follow the FY 2021-22 workbooks. All 16 Main rows keep the same names, categories, units, Standard wording and comparison logic.</t>
  </si>
  <si>
    <t xml:space="preserve">Evidence</t>
  </si>
  <si>
    <t xml:space="preserve">Full permitted repository searched</t>
  </si>
  <si>
    <t xml:space="preserve">Repository: S1, S2, S3 (FY 2022-23 statement), the FY 2021-22 statement, the context document, the previous TPWODL workbooks and the UGVCL reference workbooks. The connected Google Drive was searched again (TPWODL, Standards of Performance, OERC, Odisha); no relevant documents found.</t>
  </si>
  <si>
    <t xml:space="preserve">Regulatory and reported-performance sources reviewed</t>
  </si>
  <si>
    <t xml:space="preserve">Regulatory: S1 and S2 re-read for applicability to FY 2022-23. Reported: S3 (single page, text and rendered image).</t>
  </si>
  <si>
    <t xml:space="preserve">Applicable regulation re-established</t>
  </si>
  <si>
    <t xml:space="preserve">S1 as amended by S2 in force throughout FY 2022-23; no repeal or replacement found (recorded in Source_Gaps).</t>
  </si>
  <si>
    <t xml:space="preserve">Amendments checked</t>
  </si>
  <si>
    <t xml:space="preserve">Pass (gap recorded)</t>
  </si>
  <si>
    <t xml:space="preserve">S2 does not alter Schedule II standards or formulas. No later amendment found; recorded in Source_Gaps.</t>
  </si>
  <si>
    <t xml:space="preserve">Definitions, units, formulas, reporting basis re-verified</t>
  </si>
  <si>
    <t xml:space="preserve">Thresholds from S1 Sch. II; reliability formulas S1 p.15 (connected-load weighting); units from S3 labels and S1 formulas; reporting basis annual (S3). Voltage-case unit not established (gap recorded).</t>
  </si>
  <si>
    <t xml:space="preserve">Unit check: every quantitative indicator</t>
  </si>
  <si>
    <t xml:space="preserve">Pass (one gap recorded)</t>
  </si>
  <si>
    <t xml:space="preserve">Shares %; SAIDI minutes per kW; SAIFI interruptions per kW; MAIFI momentary interruptions per kW; accidents count. Voltage-case HT value: unit not established after checking S1, S2 and S3.</t>
  </si>
  <si>
    <t xml:space="preserve">Annualisation-method check</t>
  </si>
  <si>
    <t xml:space="preserve">All values annual; no summing, averaging, multiplication or extrapolation. Combined urban/rural shares derived only where both area shares are equal.</t>
  </si>
  <si>
    <t xml:space="preserve">Detailed-figures check (Reported data and Annualised fields)</t>
  </si>
  <si>
    <t xml:space="preserve">Automated scan of 16 rows: no counts, numerators, denominators, balances, prior-year values or inputs.</t>
  </si>
  <si>
    <t xml:space="preserve">Comparison possible? / Standard met? logic</t>
  </si>
  <si>
    <t xml:space="preserve">16 of 16 rows consistent: 12 rows No / N/A; 4 rows Yes / Yes (fuse-off, distribution transformer, faulty bills, defective meters), each assessed on the original S1 basis.</t>
  </si>
  <si>
    <t xml:space="preserve">Standards not transformed</t>
  </si>
  <si>
    <t xml:space="preserve">Standards stated as aggregate shares or limits exactly as in S1; unchanged from FY 2021-22 because S1 is unchanged.</t>
  </si>
  <si>
    <t xml:space="preserve">Main sheet columns and public-facing language</t>
  </si>
  <si>
    <t xml:space="preserve">Exact 13 prescribed columns; internal-process phrase scan clean.</t>
  </si>
  <si>
    <t xml:space="preserve">Dashboard transfer reconciliation</t>
  </si>
  <si>
    <t xml:space="preserve">Annualised text in Dashboard_Transfer (formula-built) matches the main sheet for all 16 rows (automated check after recalculation).</t>
  </si>
  <si>
    <t xml:space="preserve">Row-by-row consistency with FY 2021-22</t>
  </si>
  <si>
    <t xml:space="preserve">See PriorFY_Row_Check.</t>
  </si>
  <si>
    <t xml:space="preserve">Reconciliations and flags</t>
  </si>
  <si>
    <t xml:space="preserve">Pass (flags documented)</t>
  </si>
  <si>
    <t xml:space="preserve">Threshold check S1 = S3 targets: OK. Accident continuity with FY 2021-22 workbook: OK. Data flags recorded in Data_Quality_Flags.</t>
  </si>
  <si>
    <t xml:space="preserve">Regulatory status verified for each instrument used</t>
  </si>
  <si>
    <t xml:space="preserve">Pass (limits recorded)</t>
  </si>
  <si>
    <t xml:space="preserve">S1, S2 (final, notified; gazette details S12); S5 (final central rules); S7 (listed as gazette notification; number not stated in the document). Drafts excluded.</t>
  </si>
  <si>
    <t xml:space="preserve">No draft or proposed regulation used as a standard</t>
  </si>
  <si>
    <t xml:space="preserve">The 2019 and 2025 drafts are recorded in Source_Gaps as excluded.</t>
  </si>
  <si>
    <t xml:space="preserve">Source links are clickable and lead to the intended document or hosting page</t>
  </si>
  <si>
    <t xml:space="preserve">Links were opened with a fetch tool. Limits: S5 is a copy hosted by another State Commission; S13 is a copy on a licensee website; the TPWODL page could not be read.</t>
  </si>
  <si>
    <t xml:space="preserve">Reported values verified against a second copy</t>
  </si>
  <si>
    <t xml:space="preserve">Not possible</t>
  </si>
  <si>
    <t xml:space="preserve">No second public copy of the FY 2022-23 statement located (Source_Gaps).</t>
  </si>
  <si>
    <t xml:space="preserve">Changes highlighted and noted</t>
  </si>
  <si>
    <t xml:space="preserve">Changed cells carry the common highlight and a cell note; typography-only edits (dashes) are not highlighted.</t>
  </si>
  <si>
    <t xml:space="preserve">Sources-folder requirements checked against the completed Main sheet</t>
  </si>
  <si>
    <t xml:space="preserve">Pass (limit recorded)</t>
  </si>
  <si>
    <t xml:space="preserve">No new document is required beyond S5, S6, S7, S11 and S12 identified for FY 2021-22 (presence in the folder not verified). The existing Sources folder could not be located or inspected.</t>
  </si>
</sst>
</file>

<file path=xl/styles.xml><?xml version="1.0" encoding="utf-8"?>
<styleSheet xmlns="http://schemas.openxmlformats.org/spreadsheetml/2006/main">
  <numFmts count="7">
    <numFmt numFmtId="164" formatCode="General"/>
    <numFmt numFmtId="165" formatCode="#,##0.00"/>
    <numFmt numFmtId="166" formatCode="#,##0.0000"/>
    <numFmt numFmtId="167" formatCode="0.00"/>
    <numFmt numFmtId="168" formatCode="0.0000"/>
    <numFmt numFmtId="169" formatCode="#,##0"/>
    <numFmt numFmtId="170"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Arial"/>
      <family val="2"/>
    </font>
    <font>
      <sz val="10"/>
      <color rgb="FF0000FF"/>
      <name val="Arial"/>
      <family val="0"/>
      <charset val="1"/>
    </font>
    <font>
      <sz val="10"/>
      <color rgb="FF008000"/>
      <name val="Arial"/>
      <family val="0"/>
      <charset val="1"/>
    </font>
    <font>
      <u val="single"/>
      <sz val="10"/>
      <color rgb="FF0563C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E699"/>
        <bgColor rgb="FFFFCC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9" fontId="8"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orierc.org/OERCOLD/Orders/regulations/Licensee_s_standard_of_performance.pdf" TargetMode="External"/><Relationship Id="rId3"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0"/>
  </cols>
  <sheetData>
    <row r="1" customFormat="false" ht="15" hidden="false" customHeight="true" outlineLevel="0" collapsed="false">
      <c r="A1" s="2" t="s">
        <v>0</v>
      </c>
      <c r="B1" s="2" t="s">
        <v>1</v>
      </c>
    </row>
    <row r="2" customFormat="false" ht="34.5" hidden="false" customHeight="true" outlineLevel="0" collapsed="false">
      <c r="A2" s="3" t="s">
        <v>2</v>
      </c>
      <c r="B2" s="3" t="s">
        <v>3</v>
      </c>
    </row>
    <row r="3" customFormat="false" ht="15" hidden="false" customHeight="true" outlineLevel="0" collapsed="false">
      <c r="A3" s="3" t="s">
        <v>4</v>
      </c>
      <c r="B3" s="3" t="s">
        <v>5</v>
      </c>
    </row>
    <row r="4" customFormat="false" ht="34.5" hidden="false" customHeight="true" outlineLevel="0" collapsed="false">
      <c r="A4" s="3" t="s">
        <v>6</v>
      </c>
      <c r="B4" s="3" t="s">
        <v>7</v>
      </c>
    </row>
    <row r="5" customFormat="false" ht="45.75" hidden="false" customHeight="true" outlineLevel="0" collapsed="false">
      <c r="A5" s="3" t="s">
        <v>8</v>
      </c>
      <c r="B5" s="3" t="s">
        <v>9</v>
      </c>
    </row>
    <row r="6" customFormat="false" ht="34.5" hidden="false" customHeight="true" outlineLevel="0" collapsed="false">
      <c r="A6" s="3" t="s">
        <v>10</v>
      </c>
      <c r="B6" s="3" t="s">
        <v>11</v>
      </c>
    </row>
    <row r="7" customFormat="false" ht="34.5" hidden="false" customHeight="true" outlineLevel="0" collapsed="false">
      <c r="A7" s="3" t="s">
        <v>12</v>
      </c>
      <c r="B7" s="3" t="s">
        <v>13</v>
      </c>
    </row>
    <row r="8" customFormat="false" ht="23.25" hidden="false" customHeight="true" outlineLevel="0" collapsed="false">
      <c r="A8" s="3" t="s">
        <v>14</v>
      </c>
      <c r="B8" s="3" t="s">
        <v>15</v>
      </c>
    </row>
    <row r="9" customFormat="false" ht="23.25" hidden="false" customHeight="true" outlineLevel="0" collapsed="false">
      <c r="A9" s="3" t="s">
        <v>16</v>
      </c>
      <c r="B9" s="3" t="s">
        <v>17</v>
      </c>
    </row>
    <row r="10" customFormat="false" ht="23.25" hidden="false" customHeight="true" outlineLevel="0" collapsed="false">
      <c r="A10" s="3" t="s">
        <v>18</v>
      </c>
      <c r="B10" s="3" t="s">
        <v>19</v>
      </c>
    </row>
    <row r="11" customFormat="false" ht="23.25" hidden="false" customHeight="true" outlineLevel="0" collapsed="false">
      <c r="A11" s="3" t="s">
        <v>20</v>
      </c>
      <c r="B11" s="3" t="s">
        <v>21</v>
      </c>
    </row>
    <row r="12" customFormat="false" ht="23.25" hidden="false" customHeight="true" outlineLevel="0" collapsed="false">
      <c r="A12" s="3" t="s">
        <v>22</v>
      </c>
      <c r="B12" s="3" t="s">
        <v>23</v>
      </c>
    </row>
    <row r="13" customFormat="false" ht="23.25" hidden="false" customHeight="true" outlineLevel="0" collapsed="false">
      <c r="A13" s="3" t="s">
        <v>24</v>
      </c>
      <c r="B13" s="3" t="s">
        <v>25</v>
      </c>
    </row>
    <row r="14" customFormat="false" ht="23.85" hidden="false" customHeight="false" outlineLevel="0" collapsed="false">
      <c r="A14" s="4" t="s">
        <v>26</v>
      </c>
      <c r="B14" s="4" t="s">
        <v>27</v>
      </c>
    </row>
    <row r="15" customFormat="false" ht="35.05" hidden="false" customHeight="false" outlineLevel="0" collapsed="false">
      <c r="A15" s="4" t="s">
        <v>28</v>
      </c>
      <c r="B15" s="4" t="s">
        <v>29</v>
      </c>
    </row>
    <row r="16" customFormat="false" ht="35.05" hidden="false" customHeight="false" outlineLevel="0" collapsed="false">
      <c r="A16" s="4" t="s">
        <v>30</v>
      </c>
      <c r="B16" s="4"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8"/>
    <col collapsed="false" customWidth="true" hidden="false" outlineLevel="0" max="4" min="4" style="1" width="16"/>
    <col collapsed="false" customWidth="true" hidden="false" outlineLevel="0" max="5" min="5" style="1" width="11"/>
    <col collapsed="false" customWidth="true" hidden="false" outlineLevel="0" max="6" min="6" style="1" width="16"/>
    <col collapsed="false" customWidth="true" hidden="false" outlineLevel="0" max="7" min="7" style="1" width="12"/>
    <col collapsed="false" customWidth="true" hidden="false" outlineLevel="0" max="8" min="8" style="1" width="14"/>
    <col collapsed="false" customWidth="true" hidden="false" outlineLevel="0" max="9" min="9" style="1" width="40"/>
  </cols>
  <sheetData>
    <row r="1" customFormat="false" ht="45.75" hidden="false" customHeight="true" outlineLevel="0" collapsed="false">
      <c r="A1" s="2" t="s">
        <v>32</v>
      </c>
      <c r="B1" s="2" t="s">
        <v>33</v>
      </c>
      <c r="C1" s="2" t="s">
        <v>34</v>
      </c>
      <c r="D1" s="2" t="s">
        <v>35</v>
      </c>
      <c r="E1" s="2" t="s">
        <v>36</v>
      </c>
      <c r="F1" s="2" t="s">
        <v>37</v>
      </c>
      <c r="G1" s="2" t="s">
        <v>38</v>
      </c>
      <c r="H1" s="2" t="s">
        <v>39</v>
      </c>
      <c r="I1" s="2" t="s">
        <v>40</v>
      </c>
    </row>
    <row r="2" customFormat="false" ht="23.25" hidden="false" customHeight="true" outlineLevel="0" collapsed="false">
      <c r="A2" s="3" t="s">
        <v>41</v>
      </c>
      <c r="B2" s="5" t="s">
        <v>42</v>
      </c>
      <c r="C2" s="5" t="s">
        <v>43</v>
      </c>
      <c r="D2" s="5" t="s">
        <v>44</v>
      </c>
      <c r="E2" s="5" t="n">
        <v>90</v>
      </c>
      <c r="F2" s="5" t="s">
        <v>45</v>
      </c>
      <c r="G2" s="6" t="n">
        <v>100</v>
      </c>
      <c r="H2" s="5" t="s">
        <v>46</v>
      </c>
      <c r="I2" s="3" t="s">
        <v>47</v>
      </c>
    </row>
    <row r="3" customFormat="false" ht="23.25" hidden="false" customHeight="true" outlineLevel="0" collapsed="false">
      <c r="A3" s="3" t="s">
        <v>48</v>
      </c>
      <c r="B3" s="5" t="s">
        <v>49</v>
      </c>
      <c r="C3" s="5" t="s">
        <v>50</v>
      </c>
      <c r="D3" s="5" t="s">
        <v>44</v>
      </c>
      <c r="E3" s="5" t="n">
        <v>90</v>
      </c>
      <c r="F3" s="5" t="s">
        <v>45</v>
      </c>
      <c r="G3" s="6" t="n">
        <v>100</v>
      </c>
      <c r="H3" s="5" t="s">
        <v>46</v>
      </c>
      <c r="I3" s="3" t="s">
        <v>47</v>
      </c>
    </row>
    <row r="4" customFormat="false" ht="23.25" hidden="false" customHeight="true" outlineLevel="0" collapsed="false">
      <c r="A4" s="3" t="s">
        <v>51</v>
      </c>
      <c r="B4" s="5" t="s">
        <v>52</v>
      </c>
      <c r="C4" s="5" t="s">
        <v>43</v>
      </c>
      <c r="D4" s="5" t="s">
        <v>53</v>
      </c>
      <c r="E4" s="5" t="n">
        <v>95</v>
      </c>
      <c r="F4" s="5" t="s">
        <v>45</v>
      </c>
      <c r="G4" s="6" t="n">
        <v>100</v>
      </c>
      <c r="H4" s="5" t="s">
        <v>46</v>
      </c>
      <c r="I4" s="3" t="s">
        <v>47</v>
      </c>
    </row>
    <row r="5" customFormat="false" ht="23.25" hidden="false" customHeight="true" outlineLevel="0" collapsed="false">
      <c r="A5" s="3" t="s">
        <v>54</v>
      </c>
      <c r="B5" s="5" t="s">
        <v>55</v>
      </c>
      <c r="C5" s="5" t="s">
        <v>50</v>
      </c>
      <c r="D5" s="5" t="s">
        <v>53</v>
      </c>
      <c r="E5" s="5" t="n">
        <v>95</v>
      </c>
      <c r="F5" s="5" t="s">
        <v>45</v>
      </c>
      <c r="G5" s="6" t="n">
        <v>100</v>
      </c>
      <c r="H5" s="5" t="s">
        <v>46</v>
      </c>
      <c r="I5" s="3" t="s">
        <v>47</v>
      </c>
    </row>
    <row r="6" customFormat="false" ht="23.25" hidden="false" customHeight="true" outlineLevel="0" collapsed="false">
      <c r="A6" s="3" t="s">
        <v>56</v>
      </c>
      <c r="B6" s="5" t="s">
        <v>57</v>
      </c>
      <c r="C6" s="5" t="s">
        <v>43</v>
      </c>
      <c r="D6" s="5" t="s">
        <v>53</v>
      </c>
      <c r="E6" s="5" t="n">
        <v>95</v>
      </c>
      <c r="F6" s="5" t="s">
        <v>58</v>
      </c>
      <c r="G6" s="6" t="n">
        <v>99.08</v>
      </c>
      <c r="H6" s="5" t="s">
        <v>46</v>
      </c>
      <c r="I6" s="3" t="s">
        <v>47</v>
      </c>
    </row>
    <row r="7" customFormat="false" ht="23.25" hidden="false" customHeight="true" outlineLevel="0" collapsed="false">
      <c r="A7" s="3" t="s">
        <v>59</v>
      </c>
      <c r="B7" s="5" t="s">
        <v>60</v>
      </c>
      <c r="C7" s="5" t="s">
        <v>50</v>
      </c>
      <c r="D7" s="5" t="s">
        <v>53</v>
      </c>
      <c r="E7" s="5" t="n">
        <v>95</v>
      </c>
      <c r="F7" s="5" t="s">
        <v>61</v>
      </c>
      <c r="G7" s="6" t="n">
        <v>97.33</v>
      </c>
      <c r="H7" s="5" t="s">
        <v>46</v>
      </c>
      <c r="I7" s="3" t="s">
        <v>47</v>
      </c>
    </row>
    <row r="8" customFormat="false" ht="23.25" hidden="false" customHeight="true" outlineLevel="0" collapsed="false">
      <c r="A8" s="3" t="s">
        <v>62</v>
      </c>
      <c r="B8" s="5" t="s">
        <v>63</v>
      </c>
      <c r="C8" s="5" t="s">
        <v>64</v>
      </c>
      <c r="D8" s="5" t="s">
        <v>65</v>
      </c>
      <c r="E8" s="5"/>
      <c r="F8" s="5" t="s">
        <v>45</v>
      </c>
      <c r="G8" s="6" t="n">
        <v>100</v>
      </c>
      <c r="H8" s="5" t="s">
        <v>46</v>
      </c>
      <c r="I8" s="3" t="s">
        <v>47</v>
      </c>
    </row>
    <row r="9" customFormat="false" ht="23.25" hidden="false" customHeight="true" outlineLevel="0" collapsed="false">
      <c r="A9" s="3" t="s">
        <v>66</v>
      </c>
      <c r="B9" s="5" t="s">
        <v>67</v>
      </c>
      <c r="C9" s="5" t="s">
        <v>64</v>
      </c>
      <c r="D9" s="5" t="s">
        <v>65</v>
      </c>
      <c r="E9" s="5"/>
      <c r="F9" s="5" t="s">
        <v>65</v>
      </c>
      <c r="G9" s="6"/>
      <c r="H9" s="5" t="s">
        <v>68</v>
      </c>
      <c r="I9" s="3" t="s">
        <v>47</v>
      </c>
    </row>
    <row r="10" customFormat="false" ht="23.25" hidden="false" customHeight="true" outlineLevel="0" collapsed="false">
      <c r="A10" s="3" t="s">
        <v>69</v>
      </c>
      <c r="B10" s="5" t="s">
        <v>70</v>
      </c>
      <c r="C10" s="5" t="s">
        <v>71</v>
      </c>
      <c r="D10" s="5" t="s">
        <v>72</v>
      </c>
      <c r="E10" s="5"/>
      <c r="F10" s="5" t="s">
        <v>73</v>
      </c>
      <c r="G10" s="6" t="n">
        <v>1.5</v>
      </c>
      <c r="H10" s="5" t="s">
        <v>74</v>
      </c>
      <c r="I10" s="3" t="s">
        <v>47</v>
      </c>
    </row>
    <row r="11" customFormat="false" ht="23.25" hidden="false" customHeight="true" outlineLevel="0" collapsed="false">
      <c r="A11" s="3" t="s">
        <v>75</v>
      </c>
      <c r="B11" s="5" t="s">
        <v>76</v>
      </c>
      <c r="C11" s="5" t="s">
        <v>77</v>
      </c>
      <c r="D11" s="5" t="s">
        <v>72</v>
      </c>
      <c r="E11" s="5"/>
      <c r="F11" s="5" t="s">
        <v>65</v>
      </c>
      <c r="G11" s="6"/>
      <c r="H11" s="5" t="s">
        <v>68</v>
      </c>
      <c r="I11" s="3" t="s">
        <v>47</v>
      </c>
    </row>
    <row r="12" customFormat="false" ht="23.25" hidden="false" customHeight="true" outlineLevel="0" collapsed="false">
      <c r="A12" s="3" t="s">
        <v>78</v>
      </c>
      <c r="B12" s="5" t="s">
        <v>79</v>
      </c>
      <c r="C12" s="5" t="s">
        <v>80</v>
      </c>
      <c r="D12" s="5" t="s">
        <v>72</v>
      </c>
      <c r="E12" s="5"/>
      <c r="F12" s="5" t="s">
        <v>65</v>
      </c>
      <c r="G12" s="6"/>
      <c r="H12" s="5" t="s">
        <v>68</v>
      </c>
      <c r="I12" s="3" t="s">
        <v>47</v>
      </c>
    </row>
    <row r="13" customFormat="false" ht="23.25" hidden="false" customHeight="true" outlineLevel="0" collapsed="false">
      <c r="A13" s="3" t="s">
        <v>81</v>
      </c>
      <c r="B13" s="5" t="s">
        <v>82</v>
      </c>
      <c r="C13" s="5" t="s">
        <v>64</v>
      </c>
      <c r="D13" s="5" t="s">
        <v>44</v>
      </c>
      <c r="E13" s="5" t="n">
        <v>90</v>
      </c>
      <c r="F13" s="5" t="s">
        <v>65</v>
      </c>
      <c r="G13" s="6"/>
      <c r="H13" s="5" t="s">
        <v>46</v>
      </c>
      <c r="I13" s="3" t="s">
        <v>47</v>
      </c>
    </row>
    <row r="14" customFormat="false" ht="23.25" hidden="false" customHeight="true" outlineLevel="0" collapsed="false">
      <c r="A14" s="3" t="s">
        <v>83</v>
      </c>
      <c r="B14" s="5" t="s">
        <v>84</v>
      </c>
      <c r="C14" s="5" t="s">
        <v>64</v>
      </c>
      <c r="D14" s="5" t="s">
        <v>85</v>
      </c>
      <c r="E14" s="5" t="n">
        <v>0.1</v>
      </c>
      <c r="F14" s="5" t="s">
        <v>86</v>
      </c>
      <c r="G14" s="7" t="n">
        <v>0.0004</v>
      </c>
      <c r="H14" s="5" t="s">
        <v>46</v>
      </c>
      <c r="I14" s="3" t="s">
        <v>47</v>
      </c>
    </row>
    <row r="15" customFormat="false" ht="23.25" hidden="false" customHeight="true" outlineLevel="0" collapsed="false">
      <c r="A15" s="3" t="s">
        <v>87</v>
      </c>
      <c r="B15" s="5" t="s">
        <v>88</v>
      </c>
      <c r="C15" s="5" t="s">
        <v>64</v>
      </c>
      <c r="D15" s="5" t="s">
        <v>89</v>
      </c>
      <c r="E15" s="5" t="n">
        <v>5</v>
      </c>
      <c r="F15" s="5" t="s">
        <v>90</v>
      </c>
      <c r="G15" s="7" t="n">
        <v>0.0013</v>
      </c>
      <c r="H15" s="5" t="s">
        <v>46</v>
      </c>
      <c r="I15" s="3" t="s">
        <v>47</v>
      </c>
    </row>
    <row r="16" customFormat="false" ht="23.25" hidden="false" customHeight="true" outlineLevel="0" collapsed="false">
      <c r="A16" s="3" t="s">
        <v>91</v>
      </c>
      <c r="B16" s="5" t="s">
        <v>92</v>
      </c>
      <c r="C16" s="5" t="s">
        <v>64</v>
      </c>
      <c r="D16" s="5" t="s">
        <v>72</v>
      </c>
      <c r="E16" s="5"/>
      <c r="F16" s="5" t="s">
        <v>93</v>
      </c>
      <c r="G16" s="6" t="n">
        <v>468</v>
      </c>
      <c r="H16" s="5" t="s">
        <v>94</v>
      </c>
      <c r="I16" s="3" t="s">
        <v>47</v>
      </c>
    </row>
    <row r="17" customFormat="false" ht="23.25" hidden="false" customHeight="true" outlineLevel="0" collapsed="false">
      <c r="A17" s="3" t="s">
        <v>95</v>
      </c>
      <c r="B17" s="5" t="s">
        <v>96</v>
      </c>
      <c r="C17" s="5" t="s">
        <v>64</v>
      </c>
      <c r="D17" s="5" t="s">
        <v>72</v>
      </c>
      <c r="E17" s="5"/>
      <c r="F17" s="5" t="s">
        <v>97</v>
      </c>
      <c r="G17" s="6" t="n">
        <v>40</v>
      </c>
      <c r="H17" s="5" t="s">
        <v>94</v>
      </c>
      <c r="I17" s="3" t="s">
        <v>47</v>
      </c>
    </row>
    <row r="18" customFormat="false" ht="23.25" hidden="false" customHeight="true" outlineLevel="0" collapsed="false">
      <c r="A18" s="3" t="s">
        <v>98</v>
      </c>
      <c r="B18" s="5" t="s">
        <v>99</v>
      </c>
      <c r="C18" s="5" t="s">
        <v>64</v>
      </c>
      <c r="D18" s="5" t="s">
        <v>72</v>
      </c>
      <c r="E18" s="5"/>
      <c r="F18" s="5" t="s">
        <v>100</v>
      </c>
      <c r="G18" s="6" t="n">
        <v>19770</v>
      </c>
      <c r="H18" s="5" t="s">
        <v>101</v>
      </c>
      <c r="I18" s="3"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12"/>
    <col collapsed="false" customWidth="true" hidden="false" outlineLevel="0" max="8" min="7" style="1" width="11"/>
    <col collapsed="false" customWidth="true" hidden="false" outlineLevel="0" max="9" min="9" style="1" width="10"/>
    <col collapsed="false" customWidth="true" hidden="false" outlineLevel="0" max="11" min="10" style="1" width="12"/>
    <col collapsed="false" customWidth="true" hidden="false" outlineLevel="0" max="12" min="12" style="1" width="16"/>
    <col collapsed="false" customWidth="true" hidden="false" outlineLevel="0" max="13" min="13" style="1" width="50"/>
  </cols>
  <sheetData>
    <row r="1" customFormat="false" ht="45.75" hidden="false" customHeight="true" outlineLevel="0" collapsed="false">
      <c r="A1" s="2" t="s">
        <v>102</v>
      </c>
      <c r="B1" s="2" t="s">
        <v>103</v>
      </c>
      <c r="C1" s="2" t="s">
        <v>104</v>
      </c>
      <c r="D1" s="2" t="s">
        <v>105</v>
      </c>
      <c r="E1" s="2" t="s">
        <v>106</v>
      </c>
      <c r="F1" s="2" t="s">
        <v>107</v>
      </c>
      <c r="G1" s="2" t="s">
        <v>108</v>
      </c>
      <c r="H1" s="2" t="s">
        <v>109</v>
      </c>
      <c r="I1" s="2" t="s">
        <v>110</v>
      </c>
      <c r="J1" s="2" t="s">
        <v>111</v>
      </c>
      <c r="K1" s="2" t="s">
        <v>112</v>
      </c>
      <c r="L1" s="2" t="s">
        <v>113</v>
      </c>
      <c r="M1" s="2" t="s">
        <v>114</v>
      </c>
    </row>
    <row r="2" customFormat="false" ht="23.25" hidden="false" customHeight="true" outlineLevel="0" collapsed="false">
      <c r="A2" s="3" t="s">
        <v>115</v>
      </c>
      <c r="B2" s="8" t="n">
        <f aca="false">OSoP_Reported!G2</f>
        <v>100</v>
      </c>
      <c r="C2" s="8" t="n">
        <f aca="false">OSoP_Reported!G3</f>
        <v>100</v>
      </c>
      <c r="D2" s="9" t="n">
        <f aca="false">MIN(B2,C2)</f>
        <v>100</v>
      </c>
      <c r="E2" s="9" t="n">
        <f aca="false">MAX(B2,C2)</f>
        <v>100</v>
      </c>
      <c r="F2" s="9" t="n">
        <f aca="false">IF(D2=E2,D2,"Not derivable without case counts")</f>
        <v>100</v>
      </c>
      <c r="G2" s="10" t="n">
        <v>90</v>
      </c>
      <c r="H2" s="8" t="n">
        <f aca="false">OSoP_Reported!E2</f>
        <v>90</v>
      </c>
      <c r="I2" s="3" t="str">
        <f aca="false">IF(AND(G2=H2,OSoP_Reported!E2=OSoP_Reported!E3),"OK","FLAG")</f>
        <v>OK</v>
      </c>
      <c r="J2" s="5" t="s">
        <v>116</v>
      </c>
      <c r="K2" s="3" t="str">
        <f aca="false">IF(J2&lt;&gt;"Yes","N/A",IF(D2&gt;=G2,"Yes",IF(E2&lt;G2,"No","Not determinable")))</f>
        <v>Yes</v>
      </c>
      <c r="L2" s="3" t="str">
        <f aca="false">IF(AND(B2&gt;=H2,C2&gt;=H2),"Both areas at or above target","At least one area below target")</f>
        <v>Both areas at or above target</v>
      </c>
      <c r="M2" s="3" t="s">
        <v>117</v>
      </c>
    </row>
    <row r="3" customFormat="false" ht="34.5" hidden="false" customHeight="true" outlineLevel="0" collapsed="false">
      <c r="A3" s="3" t="s">
        <v>118</v>
      </c>
      <c r="B3" s="8" t="n">
        <f aca="false">OSoP_Reported!G4</f>
        <v>100</v>
      </c>
      <c r="C3" s="8" t="n">
        <f aca="false">OSoP_Reported!G5</f>
        <v>100</v>
      </c>
      <c r="D3" s="9" t="n">
        <f aca="false">MIN(B3,C3)</f>
        <v>100</v>
      </c>
      <c r="E3" s="9" t="n">
        <f aca="false">MAX(B3,C3)</f>
        <v>100</v>
      </c>
      <c r="F3" s="9" t="n">
        <f aca="false">IF(D3=E3,D3,"Not derivable without case counts")</f>
        <v>100</v>
      </c>
      <c r="G3" s="10" t="n">
        <v>95</v>
      </c>
      <c r="H3" s="8" t="n">
        <f aca="false">OSoP_Reported!E4</f>
        <v>95</v>
      </c>
      <c r="I3" s="3" t="str">
        <f aca="false">IF(AND(G3=H3,OSoP_Reported!E4=OSoP_Reported!E5),"OK","FLAG")</f>
        <v>OK</v>
      </c>
      <c r="J3" s="5" t="s">
        <v>119</v>
      </c>
      <c r="K3" s="3" t="str">
        <f aca="false">IF(J3&lt;&gt;"Yes","N/A",IF(D3&gt;=G3,"Yes",IF(E3&lt;G3,"No","Not determinable")))</f>
        <v>N/A</v>
      </c>
      <c r="L3" s="3" t="str">
        <f aca="false">IF(AND(B3&gt;=H3,C3&gt;=H3),"Both areas at or above target","At least one area below target")</f>
        <v>Both areas at or above target</v>
      </c>
      <c r="M3" s="3" t="s">
        <v>120</v>
      </c>
    </row>
    <row r="4" customFormat="false" ht="23.25" hidden="false" customHeight="true" outlineLevel="0" collapsed="false">
      <c r="A4" s="3" t="s">
        <v>121</v>
      </c>
      <c r="B4" s="8" t="n">
        <f aca="false">OSoP_Reported!G6</f>
        <v>99.08</v>
      </c>
      <c r="C4" s="8" t="n">
        <f aca="false">OSoP_Reported!G7</f>
        <v>97.33</v>
      </c>
      <c r="D4" s="9" t="n">
        <f aca="false">MIN(B4,C4)</f>
        <v>97.33</v>
      </c>
      <c r="E4" s="9" t="n">
        <f aca="false">MAX(B4,C4)</f>
        <v>99.08</v>
      </c>
      <c r="F4" s="9" t="str">
        <f aca="false">IF(D4=E4,D4,"Not derivable without case counts")</f>
        <v>Not derivable without case counts</v>
      </c>
      <c r="G4" s="10" t="n">
        <v>95</v>
      </c>
      <c r="H4" s="8" t="n">
        <f aca="false">OSoP_Reported!E6</f>
        <v>95</v>
      </c>
      <c r="I4" s="3" t="str">
        <f aca="false">IF(AND(G4=H4,OSoP_Reported!E6=OSoP_Reported!E7),"OK","FLAG")</f>
        <v>OK</v>
      </c>
      <c r="J4" s="5" t="s">
        <v>116</v>
      </c>
      <c r="K4" s="3" t="str">
        <f aca="false">IF(J4&lt;&gt;"Yes","N/A",IF(D4&gt;=G4,"Yes",IF(E4&lt;G4,"No","Not determinable")))</f>
        <v>Yes</v>
      </c>
      <c r="L4" s="3" t="str">
        <f aca="false">IF(AND(B4&gt;=H4,C4&gt;=H4),"Both areas at or above target","At least one area below target")</f>
        <v>Both areas at or above target</v>
      </c>
      <c r="M4" s="3"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
    <col collapsed="false" customWidth="true" hidden="false" outlineLevel="0" max="4" min="3" style="1" width="12"/>
    <col collapsed="false" customWidth="true" hidden="false" outlineLevel="0" max="6" min="5" style="1" width="13"/>
    <col collapsed="false" customWidth="true" hidden="false" outlineLevel="0" max="7" min="7" style="1" width="12"/>
    <col collapsed="false" customWidth="true" hidden="false" outlineLevel="0" max="8" min="8" style="1" width="60"/>
  </cols>
  <sheetData>
    <row r="1" customFormat="false" ht="45.75" hidden="false" customHeight="true" outlineLevel="0" collapsed="false">
      <c r="A1" s="2" t="s">
        <v>102</v>
      </c>
      <c r="B1" s="2" t="s">
        <v>123</v>
      </c>
      <c r="C1" s="2" t="s">
        <v>108</v>
      </c>
      <c r="D1" s="2" t="s">
        <v>124</v>
      </c>
      <c r="E1" s="2" t="s">
        <v>111</v>
      </c>
      <c r="F1" s="2" t="s">
        <v>125</v>
      </c>
      <c r="G1" s="2" t="s">
        <v>126</v>
      </c>
      <c r="H1" s="2" t="s">
        <v>114</v>
      </c>
    </row>
    <row r="2" customFormat="false" ht="34.5" hidden="false" customHeight="true" outlineLevel="0" collapsed="false">
      <c r="A2" s="3" t="s">
        <v>127</v>
      </c>
      <c r="B2" s="8" t="n">
        <f aca="false">OSoP_Reported!G8</f>
        <v>100</v>
      </c>
      <c r="C2" s="10" t="n">
        <v>90</v>
      </c>
      <c r="D2" s="3" t="s">
        <v>128</v>
      </c>
      <c r="E2" s="5" t="s">
        <v>119</v>
      </c>
      <c r="F2" s="3" t="str">
        <f aca="false">IF(E2&lt;&gt;"Yes","N/A",IF(D2="At least",IF(B2&gt;=C2,"Yes","No"),IF(B2&lt;=C2,"Yes","No")))</f>
        <v>N/A</v>
      </c>
      <c r="G2" s="9" t="n">
        <f aca="false">IF(ISNUMBER(B2),IF(D2="At least",B2-C2,C2-B2),"n/a")</f>
        <v>10</v>
      </c>
      <c r="H2" s="3" t="s">
        <v>129</v>
      </c>
    </row>
    <row r="3" customFormat="false" ht="23.25" hidden="false" customHeight="true" outlineLevel="0" collapsed="false">
      <c r="A3" s="3" t="s">
        <v>130</v>
      </c>
      <c r="B3" s="8" t="str">
        <f aca="false">IF(ISNUMBER(OSoP_Reported!G13),OSoP_Reported!G13,"No value reported")</f>
        <v>No value reported</v>
      </c>
      <c r="C3" s="10" t="n">
        <v>90</v>
      </c>
      <c r="D3" s="3" t="s">
        <v>128</v>
      </c>
      <c r="E3" s="5" t="s">
        <v>119</v>
      </c>
      <c r="F3" s="3" t="str">
        <f aca="false">IF(E3&lt;&gt;"Yes","N/A",IF(D3="At least",IF(B3&gt;=C3,"Yes","No"),IF(B3&lt;=C3,"Yes","No")))</f>
        <v>N/A</v>
      </c>
      <c r="G3" s="9" t="str">
        <f aca="false">IF(ISNUMBER(B3),IF(D3="At least",B3-C3,C3-B3),"n/a")</f>
        <v>n/a</v>
      </c>
      <c r="H3" s="3" t="s">
        <v>131</v>
      </c>
    </row>
    <row r="4" customFormat="false" ht="23.25" hidden="false" customHeight="true" outlineLevel="0" collapsed="false">
      <c r="A4" s="3" t="s">
        <v>132</v>
      </c>
      <c r="B4" s="11" t="n">
        <f aca="false">OSoP_Reported!G14</f>
        <v>0.0004</v>
      </c>
      <c r="C4" s="12" t="n">
        <v>0.1</v>
      </c>
      <c r="D4" s="3" t="s">
        <v>133</v>
      </c>
      <c r="E4" s="5" t="s">
        <v>116</v>
      </c>
      <c r="F4" s="3" t="str">
        <f aca="false">IF(E4&lt;&gt;"Yes","N/A",IF(D4="At least",IF(B4&gt;=C4,"Yes","No"),IF(B4&lt;=C4,"Yes","No")))</f>
        <v>Yes</v>
      </c>
      <c r="G4" s="13" t="n">
        <f aca="false">IF(ISNUMBER(B4),IF(D4="At least",B4-C4,C4-B4),"n/a")</f>
        <v>0.0996</v>
      </c>
      <c r="H4" s="3" t="s">
        <v>134</v>
      </c>
    </row>
    <row r="5" customFormat="false" ht="23.25" hidden="false" customHeight="true" outlineLevel="0" collapsed="false">
      <c r="A5" s="3" t="s">
        <v>135</v>
      </c>
      <c r="B5" s="11" t="n">
        <f aca="false">OSoP_Reported!G15</f>
        <v>0.0013</v>
      </c>
      <c r="C5" s="12" t="n">
        <v>5</v>
      </c>
      <c r="D5" s="3" t="s">
        <v>133</v>
      </c>
      <c r="E5" s="5" t="s">
        <v>116</v>
      </c>
      <c r="F5" s="3" t="str">
        <f aca="false">IF(E5&lt;&gt;"Yes","N/A",IF(D5="At least",IF(B5&gt;=C5,"Yes","No"),IF(B5&lt;=C5,"Yes","No")))</f>
        <v>Yes</v>
      </c>
      <c r="G5" s="13" t="n">
        <f aca="false">IF(ISNUMBER(B5),IF(D5="At least",B5-C5,C5-B5),"n/a")</f>
        <v>4.9987</v>
      </c>
      <c r="H5" s="3" t="s">
        <v>136</v>
      </c>
    </row>
    <row r="7" customFormat="false" ht="35.05" hidden="false" customHeight="false" outlineLevel="0" collapsed="false">
      <c r="A7" s="2" t="s">
        <v>137</v>
      </c>
      <c r="B7" s="2" t="s">
        <v>138</v>
      </c>
      <c r="C7" s="2" t="s">
        <v>139</v>
      </c>
      <c r="D7" s="2" t="s">
        <v>140</v>
      </c>
    </row>
    <row r="8" customFormat="false" ht="15" hidden="false" customHeight="false" outlineLevel="0" collapsed="false">
      <c r="A8" s="4" t="s">
        <v>141</v>
      </c>
      <c r="B8" s="14" t="n">
        <v>1.36</v>
      </c>
      <c r="C8" s="14" t="n">
        <v>5</v>
      </c>
      <c r="D8" s="4" t="str">
        <f aca="false">IF(B8&gt;C8,"Yes","No")</f>
        <v>No</v>
      </c>
    </row>
    <row r="9" customFormat="false" ht="15" hidden="false" customHeight="false" outlineLevel="0" collapsed="false">
      <c r="A9" s="4" t="s">
        <v>142</v>
      </c>
      <c r="B9" s="14" t="n">
        <v>13</v>
      </c>
      <c r="C9" s="14" t="n">
        <v>5</v>
      </c>
      <c r="D9" s="4" t="str">
        <f aca="false">IF(B9&gt;C9,"Yes","No")</f>
        <v>Yes</v>
      </c>
    </row>
    <row r="10" customFormat="false" ht="15" hidden="false" customHeight="false" outlineLevel="0" collapsed="false">
      <c r="A10" s="4" t="s">
        <v>143</v>
      </c>
      <c r="B10" s="14" t="n">
        <v>0.0013</v>
      </c>
      <c r="C10" s="14" t="n">
        <v>5</v>
      </c>
      <c r="D10" s="4" t="str">
        <f aca="false">IF(B10&gt;C10,"Yes","No")</f>
        <v>No</v>
      </c>
    </row>
    <row r="11" customFormat="false" ht="15" hidden="false" customHeight="false" outlineLevel="0" collapsed="false">
      <c r="A11" s="4" t="s">
        <v>144</v>
      </c>
      <c r="B11" s="14" t="n">
        <v>2.29</v>
      </c>
      <c r="C11" s="14" t="n">
        <v>5</v>
      </c>
      <c r="D11" s="4" t="str">
        <f aca="false">IF(B11&gt;C11,"Yes","No")</f>
        <v>No</v>
      </c>
    </row>
    <row r="13" customFormat="false" ht="35.05" hidden="false" customHeight="false" outlineLevel="0" collapsed="false">
      <c r="A13" s="2" t="s">
        <v>145</v>
      </c>
      <c r="B13" s="2" t="s">
        <v>138</v>
      </c>
      <c r="C13" s="2" t="s">
        <v>139</v>
      </c>
      <c r="D13" s="2" t="s">
        <v>140</v>
      </c>
    </row>
    <row r="14" customFormat="false" ht="15" hidden="false" customHeight="false" outlineLevel="0" collapsed="false">
      <c r="A14" s="4" t="s">
        <v>141</v>
      </c>
      <c r="B14" s="14" t="n">
        <v>0.1</v>
      </c>
      <c r="C14" s="14" t="n">
        <v>0.1</v>
      </c>
      <c r="D14" s="4" t="str">
        <f aca="false">IF(B14&gt;C14,"Yes","No")</f>
        <v>No</v>
      </c>
    </row>
    <row r="15" customFormat="false" ht="15" hidden="false" customHeight="false" outlineLevel="0" collapsed="false">
      <c r="A15" s="4" t="s">
        <v>142</v>
      </c>
      <c r="B15" s="14" t="n">
        <v>1.49</v>
      </c>
      <c r="C15" s="14" t="n">
        <v>0.1</v>
      </c>
      <c r="D15" s="4" t="str">
        <f aca="false">IF(B15&gt;C15,"Yes","No")</f>
        <v>Yes</v>
      </c>
    </row>
    <row r="16" customFormat="false" ht="15" hidden="false" customHeight="false" outlineLevel="0" collapsed="false">
      <c r="A16" s="4" t="s">
        <v>143</v>
      </c>
      <c r="B16" s="14" t="n">
        <v>0.0004</v>
      </c>
      <c r="C16" s="14" t="n">
        <v>0.1</v>
      </c>
      <c r="D16" s="4" t="str">
        <f aca="false">IF(B16&gt;C16,"Yes","No")</f>
        <v>No</v>
      </c>
    </row>
    <row r="17" customFormat="false" ht="15" hidden="false" customHeight="false" outlineLevel="0" collapsed="false">
      <c r="A17" s="4" t="s">
        <v>144</v>
      </c>
      <c r="B17" s="14" t="n">
        <v>0.14</v>
      </c>
      <c r="C17" s="14" t="n">
        <v>0.1</v>
      </c>
      <c r="D17" s="4" t="str">
        <f aca="false">IF(B17&gt;C17,"Yes","No")</f>
        <v>Yes</v>
      </c>
    </row>
    <row r="19" customFormat="false" ht="15" hidden="false" customHeight="false" outlineLevel="0" collapsed="false">
      <c r="A19" s="15" t="s">
        <v>146</v>
      </c>
    </row>
  </sheetData>
  <hyperlinks>
    <hyperlink ref="A19" r:id="rId2" display="Ceilings: S1 Sch. II 1.9 and 1.10 (S1 web cop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3" min="3" style="1" width="30"/>
    <col collapsed="false" customWidth="true" hidden="false" outlineLevel="0" max="4" min="4" style="1" width="44"/>
    <col collapsed="false" customWidth="true" hidden="false" outlineLevel="0" max="5" min="5" style="1" width="22"/>
    <col collapsed="false" customWidth="true" hidden="false" outlineLevel="0" max="6" min="6" style="1" width="50"/>
  </cols>
  <sheetData>
    <row r="1" customFormat="false" ht="23.25" hidden="false" customHeight="true" outlineLevel="0" collapsed="false">
      <c r="A1" s="2" t="s">
        <v>147</v>
      </c>
      <c r="B1" s="2" t="s">
        <v>148</v>
      </c>
      <c r="C1" s="2" t="s">
        <v>149</v>
      </c>
      <c r="D1" s="2" t="s">
        <v>150</v>
      </c>
      <c r="E1" s="2" t="s">
        <v>151</v>
      </c>
      <c r="F1" s="2" t="s">
        <v>152</v>
      </c>
    </row>
    <row r="2" customFormat="false" ht="15" hidden="false" customHeight="true" outlineLevel="0" collapsed="false">
      <c r="A2" s="3" t="s">
        <v>153</v>
      </c>
      <c r="B2" s="16" t="n">
        <f aca="false">OSoP_Reported!G18</f>
        <v>19770</v>
      </c>
      <c r="C2" s="3" t="s">
        <v>154</v>
      </c>
      <c r="D2" s="3" t="s">
        <v>155</v>
      </c>
      <c r="E2" s="3" t="s">
        <v>156</v>
      </c>
      <c r="F2" s="3" t="s">
        <v>157</v>
      </c>
    </row>
    <row r="3" customFormat="false" ht="23.25" hidden="false" customHeight="true" outlineLevel="0" collapsed="false">
      <c r="A3" s="3" t="s">
        <v>158</v>
      </c>
      <c r="B3" s="16" t="n">
        <f aca="false">OSoP_Reported!G16</f>
        <v>468</v>
      </c>
      <c r="C3" s="3" t="s">
        <v>159</v>
      </c>
      <c r="D3" s="3" t="s">
        <v>160</v>
      </c>
      <c r="E3" s="3" t="s">
        <v>161</v>
      </c>
      <c r="F3" s="3" t="s">
        <v>157</v>
      </c>
    </row>
    <row r="4" customFormat="false" ht="23.25" hidden="false" customHeight="true" outlineLevel="0" collapsed="false">
      <c r="A4" s="3" t="s">
        <v>162</v>
      </c>
      <c r="B4" s="16" t="n">
        <f aca="false">OSoP_Reported!G17</f>
        <v>40</v>
      </c>
      <c r="C4" s="3" t="s">
        <v>163</v>
      </c>
      <c r="D4" s="3" t="s">
        <v>164</v>
      </c>
      <c r="E4" s="3" t="s">
        <v>165</v>
      </c>
      <c r="F4" s="3" t="s">
        <v>157</v>
      </c>
    </row>
    <row r="5" customFormat="false" ht="15" hidden="false" customHeight="true" outlineLevel="0" collapsed="false">
      <c r="A5" s="3" t="s">
        <v>166</v>
      </c>
      <c r="B5" s="17" t="n">
        <f aca="false">B2/60</f>
        <v>329.5</v>
      </c>
      <c r="C5" s="3" t="s">
        <v>167</v>
      </c>
      <c r="D5" s="3" t="s">
        <v>168</v>
      </c>
      <c r="E5" s="3" t="s">
        <v>169</v>
      </c>
      <c r="F5" s="3" t="s">
        <v>170</v>
      </c>
    </row>
    <row r="6" customFormat="false" ht="23.25" hidden="false" customHeight="true" outlineLevel="0" collapsed="false">
      <c r="A6" s="3" t="s">
        <v>171</v>
      </c>
      <c r="B6" s="17" t="n">
        <f aca="false">B2/B3</f>
        <v>42.2435897435897</v>
      </c>
      <c r="C6" s="3" t="s">
        <v>172</v>
      </c>
      <c r="D6" s="3" t="s">
        <v>173</v>
      </c>
      <c r="E6" s="3" t="s">
        <v>169</v>
      </c>
      <c r="F6" s="3" t="s">
        <v>174</v>
      </c>
    </row>
    <row r="7" customFormat="false" ht="15" hidden="false" customHeight="true" outlineLevel="0" collapsed="false">
      <c r="A7" s="3" t="s">
        <v>175</v>
      </c>
      <c r="B7" s="17" t="n">
        <f aca="false">B4/B3</f>
        <v>0.0854700854700855</v>
      </c>
      <c r="C7" s="3" t="s">
        <v>176</v>
      </c>
      <c r="D7" s="3" t="s">
        <v>173</v>
      </c>
      <c r="E7" s="3" t="s">
        <v>169</v>
      </c>
      <c r="F7" s="3"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10"/>
    <col collapsed="false" customWidth="true" hidden="false" outlineLevel="0" max="4" min="4" style="1" width="70"/>
  </cols>
  <sheetData>
    <row r="1" customFormat="false" ht="15" hidden="false" customHeight="true" outlineLevel="0" collapsed="false">
      <c r="A1" s="2" t="s">
        <v>178</v>
      </c>
      <c r="B1" s="2" t="s">
        <v>179</v>
      </c>
      <c r="C1" s="2" t="s">
        <v>180</v>
      </c>
      <c r="D1" s="2" t="s">
        <v>152</v>
      </c>
    </row>
    <row r="2" customFormat="false" ht="15" hidden="false" customHeight="true" outlineLevel="0" collapsed="false">
      <c r="A2" s="3" t="s">
        <v>71</v>
      </c>
      <c r="B2" s="3" t="s">
        <v>65</v>
      </c>
      <c r="C2" s="3"/>
      <c r="D2" s="3" t="s">
        <v>181</v>
      </c>
    </row>
    <row r="3" customFormat="false" ht="15" hidden="false" customHeight="true" outlineLevel="0" collapsed="false">
      <c r="A3" s="3" t="s">
        <v>77</v>
      </c>
      <c r="B3" s="3" t="s">
        <v>73</v>
      </c>
      <c r="C3" s="18" t="n">
        <f aca="false">OSoP_Reported!G10</f>
        <v>1.5</v>
      </c>
      <c r="D3" s="3" t="s">
        <v>182</v>
      </c>
    </row>
    <row r="4" customFormat="false" ht="15" hidden="false" customHeight="true" outlineLevel="0" collapsed="false">
      <c r="A4" s="3" t="s">
        <v>80</v>
      </c>
      <c r="B4" s="3" t="s">
        <v>65</v>
      </c>
      <c r="C4" s="3"/>
      <c r="D4" s="3" t="s">
        <v>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0"/>
    <col collapsed="false" customWidth="true" hidden="false" outlineLevel="0" max="4" min="4" style="1" width="12"/>
    <col collapsed="false" customWidth="true" hidden="false" outlineLevel="0" max="5" min="5" style="1" width="10"/>
    <col collapsed="false" customWidth="true" hidden="false" outlineLevel="0" max="6" min="6" style="1" width="14"/>
    <col collapsed="false" customWidth="true" hidden="false" outlineLevel="0" max="7" min="7" style="1" width="60"/>
  </cols>
  <sheetData>
    <row r="1" customFormat="false" ht="34.5" hidden="false" customHeight="true" outlineLevel="0" collapsed="false">
      <c r="A1" s="2" t="s">
        <v>183</v>
      </c>
      <c r="B1" s="2" t="s">
        <v>184</v>
      </c>
      <c r="C1" s="2" t="s">
        <v>185</v>
      </c>
      <c r="D1" s="2" t="s">
        <v>186</v>
      </c>
      <c r="E1" s="2" t="s">
        <v>187</v>
      </c>
      <c r="F1" s="2" t="s">
        <v>188</v>
      </c>
      <c r="G1" s="2" t="s">
        <v>40</v>
      </c>
    </row>
    <row r="2" customFormat="false" ht="23.25" hidden="false" customHeight="true" outlineLevel="0" collapsed="false">
      <c r="A2" s="3" t="s">
        <v>189</v>
      </c>
      <c r="B2" s="5" t="s">
        <v>190</v>
      </c>
      <c r="C2" s="5" t="n">
        <v>2</v>
      </c>
      <c r="D2" s="5" t="s">
        <v>190</v>
      </c>
      <c r="E2" s="5" t="n">
        <v>2</v>
      </c>
      <c r="F2" s="3" t="n">
        <f aca="false">E2-C2</f>
        <v>0</v>
      </c>
      <c r="G2" s="3" t="s">
        <v>191</v>
      </c>
    </row>
    <row r="3" customFormat="false" ht="23.25" hidden="false" customHeight="true" outlineLevel="0" collapsed="false">
      <c r="A3" s="3" t="s">
        <v>192</v>
      </c>
      <c r="B3" s="5" t="s">
        <v>193</v>
      </c>
      <c r="C3" s="5" t="n">
        <v>16</v>
      </c>
      <c r="D3" s="5" t="s">
        <v>194</v>
      </c>
      <c r="E3" s="5" t="n">
        <v>24</v>
      </c>
      <c r="F3" s="3" t="n">
        <f aca="false">E3-C3</f>
        <v>8</v>
      </c>
      <c r="G3" s="3" t="s">
        <v>191</v>
      </c>
    </row>
    <row r="4" customFormat="false" ht="23.25" hidden="false" customHeight="true" outlineLevel="0" collapsed="false">
      <c r="A4" s="3" t="s">
        <v>195</v>
      </c>
      <c r="B4" s="5" t="s">
        <v>196</v>
      </c>
      <c r="C4" s="5" t="n">
        <v>53</v>
      </c>
      <c r="D4" s="5" t="s">
        <v>194</v>
      </c>
      <c r="E4" s="5" t="n">
        <v>24</v>
      </c>
      <c r="F4" s="3" t="n">
        <f aca="false">E4-C4</f>
        <v>-29</v>
      </c>
      <c r="G4" s="3" t="s">
        <v>191</v>
      </c>
    </row>
    <row r="5" customFormat="false" ht="23.25" hidden="false" customHeight="true" outlineLevel="0" collapsed="false">
      <c r="A5" s="3" t="s">
        <v>197</v>
      </c>
      <c r="B5" s="5" t="s">
        <v>198</v>
      </c>
      <c r="C5" s="5" t="n">
        <v>0</v>
      </c>
      <c r="D5" s="5" t="s">
        <v>198</v>
      </c>
      <c r="E5" s="5" t="n">
        <v>0</v>
      </c>
      <c r="F5" s="3" t="n">
        <f aca="false">E5-C5</f>
        <v>0</v>
      </c>
      <c r="G5" s="3" t="s">
        <v>191</v>
      </c>
    </row>
    <row r="6" customFormat="false" ht="15" hidden="false" customHeight="true" outlineLevel="0" collapsed="false">
      <c r="A6" s="3" t="s">
        <v>199</v>
      </c>
      <c r="B6" s="3"/>
      <c r="C6" s="3" t="n">
        <f aca="false">SUM(C2:C5)</f>
        <v>71</v>
      </c>
      <c r="D6" s="3"/>
      <c r="E6" s="3" t="n">
        <f aca="false">SUM(E2:E5)</f>
        <v>50</v>
      </c>
      <c r="F6" s="3" t="n">
        <f aca="false">E6-C6</f>
        <v>-21</v>
      </c>
      <c r="G6" s="3" t="s">
        <v>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16"/>
    <col collapsed="false" customWidth="true" hidden="false" outlineLevel="0" max="3" min="3" style="1" width="10"/>
    <col collapsed="false" customWidth="true" hidden="false" outlineLevel="0" max="4" min="4" style="1" width="60"/>
  </cols>
  <sheetData>
    <row r="1" customFormat="false" ht="23.25" hidden="false" customHeight="true" outlineLevel="0" collapsed="false">
      <c r="A1" s="2" t="s">
        <v>201</v>
      </c>
      <c r="B1" s="2" t="s">
        <v>202</v>
      </c>
      <c r="C1" s="2" t="s">
        <v>203</v>
      </c>
      <c r="D1" s="2" t="s">
        <v>204</v>
      </c>
    </row>
    <row r="2" customFormat="false" ht="15" hidden="false" customHeight="true" outlineLevel="0" collapsed="false">
      <c r="A2" s="3" t="s">
        <v>205</v>
      </c>
      <c r="B2" s="8" t="n">
        <f aca="false">Restoration_Shares!F2</f>
        <v>100</v>
      </c>
      <c r="C2" s="3" t="s">
        <v>206</v>
      </c>
      <c r="D2" s="3" t="str">
        <f aca="false">"FY within-standard share: "&amp;TEXT(B2/100,"0.0%")&amp;"."</f>
        <v>FY within-standard share: 100.0%.</v>
      </c>
    </row>
    <row r="3" customFormat="false" ht="23.25" hidden="false" customHeight="true" outlineLevel="0" collapsed="false">
      <c r="A3" s="3" t="s">
        <v>207</v>
      </c>
      <c r="B3" s="8" t="n">
        <f aca="false">Restoration_Shares!F3</f>
        <v>100</v>
      </c>
      <c r="C3" s="3" t="s">
        <v>206</v>
      </c>
      <c r="D3" s="3" t="str">
        <f aca="false">"FY within-standard share (time measured from receipt of complaint): "&amp;TEXT(B3/100,"0.0%")&amp;"."</f>
        <v>FY within-standard share (time measured from receipt of complaint): 100.0%.</v>
      </c>
    </row>
    <row r="4" customFormat="false" ht="23.25" hidden="false" customHeight="true" outlineLevel="0" collapsed="false">
      <c r="A4" s="3" t="s">
        <v>208</v>
      </c>
      <c r="B4" s="3" t="s">
        <v>209</v>
      </c>
      <c r="C4" s="3" t="s">
        <v>209</v>
      </c>
      <c r="D4" s="3" t="s">
        <v>210</v>
      </c>
    </row>
    <row r="5" customFormat="false" ht="15" hidden="false" customHeight="true" outlineLevel="0" collapsed="false">
      <c r="A5" s="3" t="s">
        <v>211</v>
      </c>
      <c r="B5" s="8" t="n">
        <f aca="false">Threshold_Tests!B2</f>
        <v>100</v>
      </c>
      <c r="C5" s="3" t="s">
        <v>206</v>
      </c>
      <c r="D5" s="3" t="str">
        <f aca="false">"FY within-standard share: "&amp;TEXT(B5/100,"0.0%")&amp;"."</f>
        <v>FY within-standard share: 100.0%.</v>
      </c>
    </row>
    <row r="6" customFormat="false" ht="15" hidden="false" customHeight="true" outlineLevel="0" collapsed="false">
      <c r="A6" s="3" t="s">
        <v>212</v>
      </c>
      <c r="B6" s="3" t="s">
        <v>209</v>
      </c>
      <c r="C6" s="3" t="s">
        <v>209</v>
      </c>
      <c r="D6" s="3" t="s">
        <v>213</v>
      </c>
    </row>
    <row r="7" customFormat="false" ht="15" hidden="false" customHeight="true" outlineLevel="0" collapsed="false">
      <c r="A7" s="3" t="s">
        <v>214</v>
      </c>
      <c r="B7" s="11" t="n">
        <f aca="false">Threshold_Tests!B4</f>
        <v>0.0004</v>
      </c>
      <c r="C7" s="3" t="s">
        <v>215</v>
      </c>
      <c r="D7" s="3" t="str">
        <f aca="false">"FY faulty-bill share: "&amp;TEXT(B7/100,"0.0000%")&amp;"."</f>
        <v>FY faulty-bill share: 0.0004%.</v>
      </c>
    </row>
    <row r="8" customFormat="false" ht="15" hidden="false" customHeight="true" outlineLevel="0" collapsed="false">
      <c r="A8" s="3" t="s">
        <v>216</v>
      </c>
      <c r="B8" s="11" t="n">
        <f aca="false">Threshold_Tests!B5</f>
        <v>0.0013</v>
      </c>
      <c r="C8" s="3" t="s">
        <v>215</v>
      </c>
      <c r="D8" s="3" t="str">
        <f aca="false">"FY defective-meter share: "&amp;TEXT(B8/100,"0.0000%")&amp;"."</f>
        <v>FY defective-meter share: 0.0013%.</v>
      </c>
    </row>
    <row r="9" customFormat="false" ht="15" hidden="false" customHeight="true" outlineLevel="0" collapsed="false">
      <c r="A9" s="3" t="s">
        <v>217</v>
      </c>
      <c r="B9" s="16" t="n">
        <f aca="false">Reliability!B2</f>
        <v>19770</v>
      </c>
      <c r="C9" s="3" t="s">
        <v>218</v>
      </c>
      <c r="D9" s="3" t="str">
        <f aca="false">"FY SAIDI: "&amp;TEXT(B9,"#,##0")&amp;" minutes per kW of connected load."</f>
        <v>FY SAIDI: 19,770 minutes per kW of connected load.</v>
      </c>
    </row>
    <row r="10" customFormat="false" ht="15" hidden="false" customHeight="true" outlineLevel="0" collapsed="false">
      <c r="A10" s="3" t="s">
        <v>219</v>
      </c>
      <c r="B10" s="16" t="n">
        <f aca="false">Reliability!B3</f>
        <v>468</v>
      </c>
      <c r="C10" s="3" t="s">
        <v>218</v>
      </c>
      <c r="D10" s="3" t="str">
        <f aca="false">"FY SAIFI: "&amp;TEXT(B10,"#,##0")&amp;" interruptions per kW of connected load."</f>
        <v>FY SAIFI: 468 interruptions per kW of connected load.</v>
      </c>
    </row>
    <row r="11" customFormat="false" ht="15" hidden="false" customHeight="true" outlineLevel="0" collapsed="false">
      <c r="A11" s="3" t="s">
        <v>220</v>
      </c>
      <c r="B11" s="16" t="n">
        <f aca="false">Reliability!B4</f>
        <v>40</v>
      </c>
      <c r="C11" s="3" t="s">
        <v>218</v>
      </c>
      <c r="D11" s="3" t="str">
        <f aca="false">"FY MAIFI: "&amp;TEXT(B11,"#,##0")&amp;" momentary interruptions per kW of connected load."</f>
        <v>FY MAIFI: 40 momentary interruptions per kW of connected load.</v>
      </c>
    </row>
    <row r="12" customFormat="false" ht="15" hidden="false" customHeight="true" outlineLevel="0" collapsed="false">
      <c r="A12" s="3" t="s">
        <v>221</v>
      </c>
      <c r="B12" s="3" t="s">
        <v>209</v>
      </c>
      <c r="C12" s="3" t="s">
        <v>209</v>
      </c>
      <c r="D12" s="3" t="s">
        <v>213</v>
      </c>
    </row>
    <row r="13" customFormat="false" ht="15" hidden="false" customHeight="true" outlineLevel="0" collapsed="false">
      <c r="A13" s="3" t="s">
        <v>222</v>
      </c>
      <c r="B13" s="18" t="n">
        <f aca="false">Voltage_Cases!C3</f>
        <v>1.5</v>
      </c>
      <c r="C13" s="3" t="s">
        <v>223</v>
      </c>
      <c r="D13" s="3" t="str">
        <f aca="false">"FY HT value: "&amp;TEXT(B13,"0.0")&amp;" (unit not established)."</f>
        <v>FY HT value: 1.5 (unit not established).</v>
      </c>
    </row>
    <row r="14" customFormat="false" ht="15" hidden="false" customHeight="true" outlineLevel="0" collapsed="false">
      <c r="A14" s="3" t="s">
        <v>224</v>
      </c>
      <c r="B14" s="19" t="n">
        <f aca="false">Accidents!E2</f>
        <v>2</v>
      </c>
      <c r="C14" s="3" t="s">
        <v>225</v>
      </c>
      <c r="D14" s="3" t="str">
        <f aca="false">"FY fatal human accidents: "&amp;B14&amp;"."</f>
        <v>FY fatal human accidents: 2.</v>
      </c>
    </row>
    <row r="15" customFormat="false" ht="15" hidden="false" customHeight="true" outlineLevel="0" collapsed="false">
      <c r="A15" s="3" t="s">
        <v>226</v>
      </c>
      <c r="B15" s="19" t="n">
        <f aca="false">Accidents!E3</f>
        <v>24</v>
      </c>
      <c r="C15" s="3" t="s">
        <v>225</v>
      </c>
      <c r="D15" s="3" t="str">
        <f aca="false">"FY non-fatal human accidents: "&amp;B15&amp;"."</f>
        <v>FY non-fatal human accidents: 24.</v>
      </c>
    </row>
    <row r="16" customFormat="false" ht="15" hidden="false" customHeight="true" outlineLevel="0" collapsed="false">
      <c r="A16" s="3" t="s">
        <v>227</v>
      </c>
      <c r="B16" s="19" t="n">
        <f aca="false">Accidents!E4</f>
        <v>24</v>
      </c>
      <c r="C16" s="3" t="s">
        <v>225</v>
      </c>
      <c r="D16" s="3" t="str">
        <f aca="false">"FY fatal animal accidents: "&amp;B16&amp;"."</f>
        <v>FY fatal animal accidents: 24.</v>
      </c>
    </row>
    <row r="17" customFormat="false" ht="15" hidden="false" customHeight="true" outlineLevel="0" collapsed="false">
      <c r="A17" s="3" t="s">
        <v>228</v>
      </c>
      <c r="B17" s="19" t="n">
        <f aca="false">Accidents!E5</f>
        <v>0</v>
      </c>
      <c r="C17" s="3" t="s">
        <v>225</v>
      </c>
      <c r="D17" s="3" t="str">
        <f aca="false">"FY non-fatal animal accidents: "&amp;B17&amp;"."</f>
        <v>FY non-fatal animal accidents: 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3" min="2" style="1" width="18"/>
    <col collapsed="false" customWidth="true" hidden="false" outlineLevel="0" max="4" min="4" style="1" width="12"/>
    <col collapsed="false" customWidth="true" hidden="false" outlineLevel="0" max="5" min="5" style="1" width="9"/>
    <col collapsed="false" customWidth="true" hidden="false" outlineLevel="0" max="7" min="6" style="1" width="40"/>
  </cols>
  <sheetData>
    <row r="1" customFormat="false" ht="34.5" hidden="false" customHeight="true" outlineLevel="0" collapsed="false">
      <c r="A1" s="2" t="s">
        <v>0</v>
      </c>
      <c r="B1" s="2" t="s">
        <v>229</v>
      </c>
      <c r="C1" s="2" t="s">
        <v>230</v>
      </c>
      <c r="D1" s="2" t="s">
        <v>231</v>
      </c>
      <c r="E1" s="2" t="s">
        <v>232</v>
      </c>
      <c r="F1" s="2" t="s">
        <v>233</v>
      </c>
      <c r="G1" s="2" t="s">
        <v>234</v>
      </c>
    </row>
    <row r="2" customFormat="false" ht="23.25" hidden="false" customHeight="true" outlineLevel="0" collapsed="false">
      <c r="A2" s="3" t="s">
        <v>235</v>
      </c>
      <c r="B2" s="5" t="n">
        <v>2</v>
      </c>
      <c r="C2" s="19" t="n">
        <f aca="false">Accidents!C2</f>
        <v>2</v>
      </c>
      <c r="D2" s="3" t="n">
        <f aca="false">C2-B2</f>
        <v>0</v>
      </c>
      <c r="E2" s="3" t="str">
        <f aca="false">IF(D2=0,"OK","FLAG")</f>
        <v>OK</v>
      </c>
      <c r="F2" s="3" t="s">
        <v>236</v>
      </c>
      <c r="G2" s="3" t="s">
        <v>47</v>
      </c>
    </row>
    <row r="3" customFormat="false" ht="23.25" hidden="false" customHeight="true" outlineLevel="0" collapsed="false">
      <c r="A3" s="3" t="s">
        <v>237</v>
      </c>
      <c r="B3" s="5" t="n">
        <v>16</v>
      </c>
      <c r="C3" s="19" t="n">
        <f aca="false">Accidents!C3</f>
        <v>16</v>
      </c>
      <c r="D3" s="3" t="n">
        <f aca="false">C3-B3</f>
        <v>0</v>
      </c>
      <c r="E3" s="3" t="str">
        <f aca="false">IF(D3=0,"OK","FLAG")</f>
        <v>OK</v>
      </c>
      <c r="F3" s="3" t="s">
        <v>236</v>
      </c>
      <c r="G3" s="3" t="s">
        <v>47</v>
      </c>
    </row>
    <row r="4" customFormat="false" ht="23.25" hidden="false" customHeight="true" outlineLevel="0" collapsed="false">
      <c r="A4" s="3" t="s">
        <v>238</v>
      </c>
      <c r="B4" s="5" t="n">
        <v>53</v>
      </c>
      <c r="C4" s="19" t="n">
        <f aca="false">Accidents!C4</f>
        <v>53</v>
      </c>
      <c r="D4" s="3" t="n">
        <f aca="false">C4-B4</f>
        <v>0</v>
      </c>
      <c r="E4" s="3" t="str">
        <f aca="false">IF(D4=0,"OK","FLAG")</f>
        <v>OK</v>
      </c>
      <c r="F4" s="3" t="s">
        <v>236</v>
      </c>
      <c r="G4" s="3" t="s">
        <v>47</v>
      </c>
    </row>
    <row r="5" customFormat="false" ht="23.25" hidden="false" customHeight="true" outlineLevel="0" collapsed="false">
      <c r="A5" s="3" t="s">
        <v>239</v>
      </c>
      <c r="B5" s="5" t="n">
        <v>0</v>
      </c>
      <c r="C5" s="19" t="n">
        <f aca="false">Accidents!C5</f>
        <v>0</v>
      </c>
      <c r="D5" s="3" t="n">
        <f aca="false">C5-B5</f>
        <v>0</v>
      </c>
      <c r="E5" s="3" t="str">
        <f aca="false">IF(D5=0,"OK","FLAG")</f>
        <v>OK</v>
      </c>
      <c r="F5" s="3" t="s">
        <v>236</v>
      </c>
      <c r="G5" s="3"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0"/>
  </cols>
  <sheetData>
    <row r="1" customFormat="false" ht="15" hidden="false" customHeight="true" outlineLevel="0" collapsed="false">
      <c r="A1" s="2" t="s">
        <v>240</v>
      </c>
      <c r="B1" s="2" t="s">
        <v>241</v>
      </c>
      <c r="C1" s="2" t="s">
        <v>242</v>
      </c>
    </row>
    <row r="2" customFormat="false" ht="23.25" hidden="false" customHeight="true" outlineLevel="0" collapsed="false">
      <c r="A2" s="3" t="s">
        <v>243</v>
      </c>
      <c r="B2" s="3" t="s">
        <v>244</v>
      </c>
      <c r="C2" s="3" t="s">
        <v>245</v>
      </c>
    </row>
    <row r="3" customFormat="false" ht="191.25" hidden="false" customHeight="true" outlineLevel="0" collapsed="false">
      <c r="A3" s="3" t="s">
        <v>246</v>
      </c>
      <c r="B3" s="3" t="s">
        <v>247</v>
      </c>
      <c r="C3" s="3" t="s">
        <v>248</v>
      </c>
    </row>
    <row r="4" customFormat="false" ht="15" hidden="false" customHeight="true" outlineLevel="0" collapsed="false">
      <c r="A4" s="3" t="s">
        <v>249</v>
      </c>
      <c r="B4" s="3" t="s">
        <v>244</v>
      </c>
      <c r="C4" s="3" t="s">
        <v>250</v>
      </c>
    </row>
    <row r="5" customFormat="false" ht="15" hidden="false" customHeight="true" outlineLevel="0" collapsed="false">
      <c r="A5" s="3" t="s">
        <v>251</v>
      </c>
      <c r="B5" s="3" t="s">
        <v>244</v>
      </c>
      <c r="C5" s="3" t="s">
        <v>252</v>
      </c>
    </row>
    <row r="6" customFormat="false" ht="34.5" hidden="false" customHeight="true" outlineLevel="0" collapsed="false">
      <c r="A6" s="3" t="s">
        <v>253</v>
      </c>
      <c r="B6" s="3" t="s">
        <v>247</v>
      </c>
      <c r="C6" s="3" t="s">
        <v>254</v>
      </c>
    </row>
    <row r="7" customFormat="false" ht="23.25" hidden="false" customHeight="true" outlineLevel="0" collapsed="false">
      <c r="A7" s="3" t="s">
        <v>255</v>
      </c>
      <c r="B7" s="3" t="s">
        <v>244</v>
      </c>
      <c r="C7" s="3" t="s">
        <v>256</v>
      </c>
    </row>
    <row r="8" customFormat="false" ht="23.25" hidden="false" customHeight="true" outlineLevel="0" collapsed="false">
      <c r="A8" s="3" t="s">
        <v>257</v>
      </c>
      <c r="B8" s="3" t="s">
        <v>244</v>
      </c>
      <c r="C8" s="3" t="s">
        <v>258</v>
      </c>
    </row>
    <row r="9" customFormat="false" ht="23.85" hidden="false" customHeight="false" outlineLevel="0" collapsed="false">
      <c r="A9" s="4" t="s">
        <v>259</v>
      </c>
      <c r="B9" s="4" t="s">
        <v>244</v>
      </c>
      <c r="C9" s="4"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0"/>
  </cols>
  <sheetData>
    <row r="1" customFormat="false" ht="15" hidden="false" customHeight="true" outlineLevel="0" collapsed="false">
      <c r="A1" s="2" t="s">
        <v>240</v>
      </c>
      <c r="B1" s="2" t="s">
        <v>241</v>
      </c>
      <c r="C1" s="2" t="s">
        <v>261</v>
      </c>
    </row>
    <row r="2" customFormat="false" ht="34.5" hidden="false" customHeight="true" outlineLevel="0" collapsed="false">
      <c r="A2" s="3" t="s">
        <v>262</v>
      </c>
      <c r="B2" s="3" t="s">
        <v>244</v>
      </c>
      <c r="C2" s="3" t="s">
        <v>263</v>
      </c>
    </row>
    <row r="3" customFormat="false" ht="15" hidden="false" customHeight="true" outlineLevel="0" collapsed="false">
      <c r="A3" s="3" t="s">
        <v>264</v>
      </c>
      <c r="B3" s="3" t="s">
        <v>244</v>
      </c>
      <c r="C3" s="3" t="s">
        <v>265</v>
      </c>
    </row>
    <row r="4" customFormat="false" ht="15" hidden="false" customHeight="true" outlineLevel="0" collapsed="false">
      <c r="A4" s="3" t="s">
        <v>266</v>
      </c>
      <c r="B4" s="3" t="s">
        <v>244</v>
      </c>
      <c r="C4" s="3" t="s">
        <v>267</v>
      </c>
    </row>
    <row r="5" customFormat="false" ht="23.25" hidden="false" customHeight="true" outlineLevel="0" collapsed="false">
      <c r="A5" s="3" t="s">
        <v>268</v>
      </c>
      <c r="B5" s="3" t="s">
        <v>269</v>
      </c>
      <c r="C5" s="3" t="s">
        <v>270</v>
      </c>
    </row>
    <row r="6" customFormat="false" ht="23.25" hidden="false" customHeight="true" outlineLevel="0" collapsed="false">
      <c r="A6" s="3" t="s">
        <v>271</v>
      </c>
      <c r="B6" s="3" t="s">
        <v>244</v>
      </c>
      <c r="C6" s="3" t="s">
        <v>272</v>
      </c>
    </row>
    <row r="7" customFormat="false" ht="23.25" hidden="false" customHeight="true" outlineLevel="0" collapsed="false">
      <c r="A7" s="3" t="s">
        <v>273</v>
      </c>
      <c r="B7" s="3" t="s">
        <v>274</v>
      </c>
      <c r="C7" s="3" t="s">
        <v>275</v>
      </c>
    </row>
    <row r="8" customFormat="false" ht="23.25" hidden="false" customHeight="true" outlineLevel="0" collapsed="false">
      <c r="A8" s="3" t="s">
        <v>276</v>
      </c>
      <c r="B8" s="3" t="s">
        <v>244</v>
      </c>
      <c r="C8" s="3" t="s">
        <v>277</v>
      </c>
    </row>
    <row r="9" customFormat="false" ht="23.25" hidden="false" customHeight="true" outlineLevel="0" collapsed="false">
      <c r="A9" s="3" t="s">
        <v>278</v>
      </c>
      <c r="B9" s="3" t="s">
        <v>244</v>
      </c>
      <c r="C9" s="3" t="s">
        <v>279</v>
      </c>
    </row>
    <row r="10" customFormat="false" ht="23.25" hidden="false" customHeight="true" outlineLevel="0" collapsed="false">
      <c r="A10" s="3" t="s">
        <v>280</v>
      </c>
      <c r="B10" s="3" t="s">
        <v>244</v>
      </c>
      <c r="C10" s="3" t="s">
        <v>281</v>
      </c>
    </row>
    <row r="11" customFormat="false" ht="15" hidden="false" customHeight="true" outlineLevel="0" collapsed="false">
      <c r="A11" s="3" t="s">
        <v>282</v>
      </c>
      <c r="B11" s="3" t="s">
        <v>244</v>
      </c>
      <c r="C11" s="3" t="s">
        <v>283</v>
      </c>
    </row>
    <row r="12" customFormat="false" ht="15" hidden="false" customHeight="true" outlineLevel="0" collapsed="false">
      <c r="A12" s="3" t="s">
        <v>284</v>
      </c>
      <c r="B12" s="3" t="s">
        <v>244</v>
      </c>
      <c r="C12" s="3" t="s">
        <v>285</v>
      </c>
    </row>
    <row r="13" customFormat="false" ht="23.25" hidden="false" customHeight="true" outlineLevel="0" collapsed="false">
      <c r="A13" s="3" t="s">
        <v>286</v>
      </c>
      <c r="B13" s="3" t="s">
        <v>244</v>
      </c>
      <c r="C13" s="3" t="s">
        <v>287</v>
      </c>
    </row>
    <row r="14" customFormat="false" ht="15" hidden="false" customHeight="true" outlineLevel="0" collapsed="false">
      <c r="A14" s="3" t="s">
        <v>288</v>
      </c>
      <c r="B14" s="3" t="s">
        <v>244</v>
      </c>
      <c r="C14" s="3" t="s">
        <v>289</v>
      </c>
    </row>
    <row r="15" customFormat="false" ht="23.25" hidden="false" customHeight="true" outlineLevel="0" collapsed="false">
      <c r="A15" s="3" t="s">
        <v>290</v>
      </c>
      <c r="B15" s="3" t="s">
        <v>291</v>
      </c>
      <c r="C15" s="3" t="s">
        <v>292</v>
      </c>
    </row>
    <row r="16" customFormat="false" ht="23.85" hidden="false" customHeight="false" outlineLevel="0" collapsed="false">
      <c r="A16" s="4" t="s">
        <v>293</v>
      </c>
      <c r="B16" s="4" t="s">
        <v>294</v>
      </c>
      <c r="C16" s="4" t="s">
        <v>295</v>
      </c>
    </row>
    <row r="17" customFormat="false" ht="15" hidden="false" customHeight="false" outlineLevel="0" collapsed="false">
      <c r="A17" s="4" t="s">
        <v>296</v>
      </c>
      <c r="B17" s="4" t="s">
        <v>244</v>
      </c>
      <c r="C17" s="4" t="s">
        <v>297</v>
      </c>
    </row>
    <row r="18" customFormat="false" ht="23.85" hidden="false" customHeight="false" outlineLevel="0" collapsed="false">
      <c r="A18" s="4" t="s">
        <v>298</v>
      </c>
      <c r="B18" s="4" t="s">
        <v>294</v>
      </c>
      <c r="C18" s="4" t="s">
        <v>299</v>
      </c>
    </row>
    <row r="19" customFormat="false" ht="15" hidden="false" customHeight="false" outlineLevel="0" collapsed="false">
      <c r="A19" s="4" t="s">
        <v>300</v>
      </c>
      <c r="B19" s="4" t="s">
        <v>301</v>
      </c>
      <c r="C19" s="4" t="s">
        <v>302</v>
      </c>
    </row>
    <row r="20" customFormat="false" ht="15" hidden="false" customHeight="false" outlineLevel="0" collapsed="false">
      <c r="A20" s="4" t="s">
        <v>303</v>
      </c>
      <c r="B20" s="4" t="s">
        <v>244</v>
      </c>
      <c r="C20" s="4" t="s">
        <v>304</v>
      </c>
    </row>
    <row r="21" customFormat="false" ht="23.85" hidden="false" customHeight="false" outlineLevel="0" collapsed="false">
      <c r="A21" s="4" t="s">
        <v>305</v>
      </c>
      <c r="B21" s="4" t="s">
        <v>306</v>
      </c>
      <c r="C21" s="4"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2026-10-19T06:06:00Z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