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11.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ology" sheetId="1" state="visible" r:id="rId3"/>
    <sheet name="OSoP_Reported" sheetId="2" state="visible" r:id="rId4"/>
    <sheet name="Restoration_Shares" sheetId="3" state="visible" r:id="rId5"/>
    <sheet name="Threshold_Tests" sheetId="4" state="visible" r:id="rId6"/>
    <sheet name="Reliability" sheetId="5" state="visible" r:id="rId7"/>
    <sheet name="Voltage_Cases" sheetId="6" state="visible" r:id="rId8"/>
    <sheet name="Accidents" sheetId="7" state="visible" r:id="rId9"/>
    <sheet name="Dashboard_Transfer" sheetId="8" state="visible" r:id="rId10"/>
    <sheet name="Interyear_Continuity" sheetId="9" state="visible" r:id="rId11"/>
    <sheet name="PriorFY_Row_Check" sheetId="10" state="visible" r:id="rId12"/>
    <sheet name="QC_Gate" sheetId="11" state="visible" r:id="rId1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4" authorId="0">
      <text>
        <r>
          <rPr>
            <sz val="10"/>
            <rFont val="Arial"/>
            <family val="2"/>
          </rPr>
          <t xml:space="preserve">Row added with the further review.</t>
        </r>
      </text>
    </comment>
    <comment ref="A15" authorId="0">
      <text>
        <r>
          <rPr>
            <sz val="10"/>
            <rFont val="Arial"/>
            <family val="2"/>
          </rPr>
          <t xml:space="preserve">Row added with the further review.</t>
        </r>
      </text>
    </comment>
    <comment ref="A16" authorId="0">
      <text>
        <r>
          <rPr>
            <sz val="10"/>
            <rFont val="Arial"/>
            <family val="2"/>
          </rPr>
          <t xml:space="preserve">Row added with the further review.</t>
        </r>
      </text>
    </comment>
    <comment ref="A17" authorId="0">
      <text>
        <r>
          <rPr>
            <sz val="10"/>
            <rFont val="Arial"/>
            <family val="2"/>
          </rPr>
          <t xml:space="preserve">Row added with the further review.</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8" authorId="0">
      <text>
        <r>
          <rPr>
            <sz val="10"/>
            <rFont val="Arial"/>
            <family val="2"/>
          </rPr>
          <t xml:space="preserve">Added: values of all four licensees in the same S3 row. TPWODL's 0.05% lies within the range of the others (1.13%, 1.20%, 0.23%), which supports the per cent reading. Result for TPWODL unchanged.</t>
        </r>
      </text>
    </comment>
    <comment ref="A9" authorId="0">
      <text>
        <r>
          <rPr>
            <sz val="10"/>
            <rFont val="Arial"/>
            <family val="2"/>
          </rPr>
          <t xml:space="preserve">Cross-check row added with the further review.</t>
        </r>
      </text>
    </comment>
    <comment ref="A10" authorId="0">
      <text>
        <r>
          <rPr>
            <sz val="10"/>
            <rFont val="Arial"/>
            <family val="2"/>
          </rPr>
          <t xml:space="preserve">Cross-check row added with the further review.</t>
        </r>
      </text>
    </comment>
    <comment ref="A11" authorId="0">
      <text>
        <r>
          <rPr>
            <sz val="10"/>
            <rFont val="Arial"/>
            <family val="2"/>
          </rPr>
          <t xml:space="preserve">Cross-check row added with the further review.</t>
        </r>
      </text>
    </comment>
    <comment ref="A14" authorId="0">
      <text>
        <r>
          <rPr>
            <sz val="10"/>
            <rFont val="Arial"/>
            <family val="2"/>
          </rPr>
          <t xml:space="preserve">Added: values of all four licensees in the same S3 row (0.02%, 1.66%, 0.00%, 0.00%). TPWODL's result is unchanged.</t>
        </r>
      </text>
    </comment>
    <comment ref="A15" authorId="0">
      <text>
        <r>
          <rPr>
            <sz val="10"/>
            <rFont val="Arial"/>
            <family val="2"/>
          </rPr>
          <t xml:space="preserve">Cross-check row added with the further review.</t>
        </r>
      </text>
    </comment>
    <comment ref="A16" authorId="0">
      <text>
        <r>
          <rPr>
            <sz val="10"/>
            <rFont val="Arial"/>
            <family val="2"/>
          </rPr>
          <t xml:space="preserve">Cross-check row added with the further review.</t>
        </r>
      </text>
    </comment>
    <comment ref="A17" authorId="0">
      <text>
        <r>
          <rPr>
            <sz val="10"/>
            <rFont val="Arial"/>
            <family val="2"/>
          </rPr>
          <t xml:space="preserve">Cross-check row added with the further review.</t>
        </r>
      </text>
    </comment>
    <comment ref="A19" authorId="0">
      <text>
        <r>
          <rPr>
            <sz val="10"/>
            <rFont val="Arial"/>
            <family val="2"/>
          </rPr>
          <t xml:space="preserve">Cross-check row added with the further review.</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8" authorId="0">
      <text>
        <r>
          <rPr>
            <sz val="10"/>
            <rFont val="Arial"/>
            <family val="2"/>
          </rPr>
          <t xml:space="preserve">Row added: cross-check against the Commission's TPWODL review record note (S4).</t>
        </r>
      </text>
    </comment>
    <comment ref="A9" authorId="0">
      <text>
        <r>
          <rPr>
            <sz val="10"/>
            <rFont val="Arial"/>
            <family val="2"/>
          </rPr>
          <t xml:space="preserve">Row added: cross-check against the Commission's TPWODL review record note (S4).</t>
        </r>
      </text>
    </comment>
    <comment ref="D8" authorId="0">
      <text>
        <r>
          <rPr>
            <sz val="10"/>
            <rFont val="Arial"/>
            <family val="2"/>
          </rPr>
          <t xml:space="preserve">Cross-check against the Commission's review record note. The values differ from S3; the S3 values are retained as reported and the discrepancy is listed in Review_Items.</t>
        </r>
      </text>
    </comment>
    <comment ref="D9" authorId="0">
      <text>
        <r>
          <rPr>
            <sz val="10"/>
            <rFont val="Arial"/>
            <family val="2"/>
          </rPr>
          <t xml:space="preserve">Cross-check against the Commission's review record note. The values differ from S3; the S3 values are retained as reported and the discrepancy is listed in Review_Items.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H2" authorId="0">
      <text>
        <r>
          <rPr>
            <sz val="10"/>
            <rFont val="Arial"/>
            <family val="2"/>
          </rPr>
          <t xml:space="preserve">Cross-check added: the record note (S4, item 12) states 20 human and 33 animal deaths in fatal accidents; S3 reports 8 and 28. S3 counts retained; see Review_Items.</t>
        </r>
      </text>
    </comment>
    <comment ref="H3" authorId="0">
      <text>
        <r>
          <rPr>
            <sz val="10"/>
            <rFont val="Arial"/>
            <family val="2"/>
          </rPr>
          <t xml:space="preserve">Cross-check row added with the further review.</t>
        </r>
      </text>
    </comment>
    <comment ref="H4" authorId="0">
      <text>
        <r>
          <rPr>
            <sz val="10"/>
            <rFont val="Arial"/>
            <family val="2"/>
          </rPr>
          <t xml:space="preserve">Cross-check row added with the further review.</t>
        </r>
      </text>
    </comment>
    <comment ref="H5" authorId="0">
      <text>
        <r>
          <rPr>
            <sz val="10"/>
            <rFont val="Arial"/>
            <family val="2"/>
          </rPr>
          <t xml:space="preserve">Cross-check row added with the further review.</t>
        </r>
      </text>
    </comment>
    <comment ref="H6" authorId="0">
      <text>
        <r>
          <rPr>
            <sz val="10"/>
            <rFont val="Arial"/>
            <family val="2"/>
          </rPr>
          <t xml:space="preserve">Cross-check row added with the further review.</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9" authorId="0">
      <text>
        <r>
          <rPr>
            <sz val="10"/>
            <rFont val="Arial"/>
            <family val="2"/>
          </rPr>
          <t xml:space="preserve">Row added with the further review.</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16" authorId="0">
      <text>
        <r>
          <rPr>
            <sz val="10"/>
            <rFont val="Arial"/>
            <family val="2"/>
          </rPr>
          <t xml:space="preserve">Check added with the further review.</t>
        </r>
      </text>
    </comment>
    <comment ref="A17" authorId="0">
      <text>
        <r>
          <rPr>
            <sz val="10"/>
            <rFont val="Arial"/>
            <family val="2"/>
          </rPr>
          <t xml:space="preserve">Check added with the further review.</t>
        </r>
      </text>
    </comment>
    <comment ref="A18" authorId="0">
      <text>
        <r>
          <rPr>
            <sz val="10"/>
            <rFont val="Arial"/>
            <family val="2"/>
          </rPr>
          <t xml:space="preserve">Check added with the further review.</t>
        </r>
      </text>
    </comment>
    <comment ref="A19" authorId="0">
      <text>
        <r>
          <rPr>
            <sz val="10"/>
            <rFont val="Arial"/>
            <family val="2"/>
          </rPr>
          <t xml:space="preserve">Check added with the further review.</t>
        </r>
      </text>
    </comment>
    <comment ref="A20" authorId="0">
      <text>
        <r>
          <rPr>
            <sz val="10"/>
            <rFont val="Arial"/>
            <family val="2"/>
          </rPr>
          <t xml:space="preserve">Check added with the further review.</t>
        </r>
      </text>
    </comment>
    <comment ref="A21" authorId="0">
      <text>
        <r>
          <rPr>
            <sz val="10"/>
            <rFont val="Arial"/>
            <family val="2"/>
          </rPr>
          <t xml:space="preserve">Check added with the further review.</t>
        </r>
      </text>
    </comment>
  </commentList>
</comments>
</file>

<file path=xl/sharedStrings.xml><?xml version="1.0" encoding="utf-8"?>
<sst xmlns="http://schemas.openxmlformats.org/spreadsheetml/2006/main" count="469" uniqueCount="322">
  <si>
    <t xml:space="preserve">Item</t>
  </si>
  <si>
    <t xml:space="preserve">Description</t>
  </si>
  <si>
    <t xml:space="preserve">Purpose</t>
  </si>
  <si>
    <t xml:space="preserve">Full calculation trail for TPWODL (Odisha), FY 2024-25 (Pass 1, permitted repository only). Applicable regulation re-established: OERC (Licensees' Standards of Performance) Regulations, 2004 (S1) as amended by the 1st Amendment Regulations, 2010 (S2); no repeal, replacement or later amendment found in the repository.</t>
  </si>
  <si>
    <t xml:space="preserve">Colour convention</t>
  </si>
  <si>
    <t xml:space="preserve">Blue = values transcribed from source documents; black = formulas; green = links to other sheets.</t>
  </si>
  <si>
    <t xml:space="preserve">Reported-performance source</t>
  </si>
  <si>
    <t xml:space="preserve">OERC statement 'Performance of Electricity Distribution Companies in Odisha during the FY 2024-25 (as reported and furnished through an affidavit): Achievement on Overall Standards of Performance' (S3), single page, TPWODL column 'For the year 2024-25'. All values are annual. Values transcribed in OSoP_Reported; the TPWODL column alignment, including the EHT / HT / LT voltage block, was verified against a rendered image of the page.</t>
  </si>
  <si>
    <t xml:space="preserve">Restoration shares</t>
  </si>
  <si>
    <t xml:space="preserve">S3 reports annual within-standard shares for urban and rural areas separately. S1 Sch. II sets one aggregate threshold over total cases. The combined FY share lies between the two area shares for any case weights. Where both are equal (fuse-off 100.00 / 100.00; line breakdown 100.00 / 100.00) the combined share is that value without case counts. Where they differ (distribution transformer 96.39 / 85.01) the combined share is not derived because case counts are not reported. Status on the S1 basis: met under any weighting if the lower area share is at or above the threshold; not met under any weighting if the higher is below; otherwise not determinable (Restoration_Shares). Distribution transformer is not determinable (rural below, urban above 95%), so the dashboard marks it not comparable. Line breakdown is marked not comparable because of the clock-start difference, although the status on the S1 basis would be met under any weighting if the clocks were aligned.</t>
  </si>
  <si>
    <t xml:space="preserve">Ratio standards</t>
  </si>
  <si>
    <t xml:space="preserve">Faulty-bill share (not more than 0.1%) and defective-meter share (not more than 5%) are single annual reported values compared directly with the S1 threshold, read as per cent per the percent signs printed in S3 (0.00% and 0.05%). Scheduled-outage and street-light rows are not compared.</t>
  </si>
  <si>
    <t xml:space="preserve">Reliability indices</t>
  </si>
  <si>
    <t xml:space="preserve">S1 Sch. II 1.5 formulas (p.15): SAIFI = sum(Ai x Ni) / Nt; SAIDI = sum(Bi x Ni) / Nt; MAIFI = sum(Ci x Ni) / Nt, Ni = connected load of feeder i affected, Nt = total 11 kV connected load. S3 reports annual values 'faced by 1 KW connected load' with units (Nos.) and (Minutes). No components are reported; values are used as reported (Reliability).</t>
  </si>
  <si>
    <t xml:space="preserve">Voltage cases</t>
  </si>
  <si>
    <t xml:space="preserve">S3 reports HT 0.08 and LT 0 under 'No. of cases'; EHT '-'. The HT value is fractional, so it is not confirmable as a count; unit not established. S1 sets voltage limits but no threshold for the number of cases, so no comparison is made (Voltage_Cases).</t>
  </si>
  <si>
    <t xml:space="preserve">Accidents</t>
  </si>
  <si>
    <t xml:space="preserve">S3 'No. of accident cases' for FY 2023-24 and FY 2024-25. FY 2024-25 counts used; FY 2023-24 counts reconcile with the FY 2023-24 workbook (Interyear_Continuity).</t>
  </si>
  <si>
    <t xml:space="preserve">Annualisation</t>
  </si>
  <si>
    <t xml:space="preserve">All reported values are annual; no annualisation, summation or averaging of sub-annual values was performed. No unit conversions were required (SAIDI already in minutes).</t>
  </si>
  <si>
    <t xml:space="preserve">Assumptions</t>
  </si>
  <si>
    <t xml:space="preserve">None beyond the documented treatments: (i) Sch. I 1.2 time limits applied to Sch. II 1.1; (ii) 'towns and cities' treated as 'urban areas'; (iii) S3 faulty-bill parameter treated as the S1 billing-mistake parameter; (iv) faulty-bill and defective-meter values read as per cent; (v) voltage-case values presented as printed with unit not established.</t>
  </si>
  <si>
    <t xml:space="preserve">Template</t>
  </si>
  <si>
    <t xml:space="preserve">TPWODL FY 2023-24 workbooks used as the primary formatting template; all FY 2024-25 values, units, thresholds and comparison decisions re-established from the current sources.</t>
  </si>
  <si>
    <t xml:space="preserve">Dashboard transfer</t>
  </si>
  <si>
    <t xml:space="preserve">Dashboard_Transfer links each main-sheet value to its calculation cell and builds the annualised text with formulas; QC_Gate records the final checks.</t>
  </si>
  <si>
    <t xml:space="preserve">Cross-check against the review record note</t>
  </si>
  <si>
    <t xml:space="preserve">SAIFI, SAIDI and fatal accident counts in the Commission's review record note (S4) differ from the statement (S3). The S3 values are retained as the reported source; the differences are shown in Reliability and Accidents and listed in the dashboard workbook's Review_Items.</t>
  </si>
  <si>
    <t xml:space="preserve">Verification of reported values</t>
  </si>
  <si>
    <t xml:space="preserve">No second public copy of the FY 2024-25 statement was located, so the TPWODL values rest on the supplied file (column alignment verified on a rendered image). Cross-licensee scale checks for the bill and meter shares are in Threshold_Tests.</t>
  </si>
  <si>
    <t xml:space="preserve">Regulatory status</t>
  </si>
  <si>
    <t xml:space="preserve">S1 as amended by S2 remains the applicable instrument for FY 2024-25: OERC listings show no other final amendment, and an OERC notice of 22 September 2022 states the regulations still required amendment. Draft amendments (2019, 2025) were not used. The Rights of Consumers Rules, 2020 require a Commission specification of reliability parameters; none was located.</t>
  </si>
  <si>
    <t xml:space="preserve">Outcome</t>
  </si>
  <si>
    <t xml:space="preserve">No reported value, unit, benchmark, comparison decision or compliance result changed. Changes are documentation (source links, gazette details, DISCOM name) and cross-checks. Items that remain open are listed in the dashboard workbook's Source_Gaps.</t>
  </si>
  <si>
    <t xml:space="preserve">Ref</t>
  </si>
  <si>
    <t xml:space="preserve">Parameter (as published)</t>
  </si>
  <si>
    <t xml:space="preserve">Area</t>
  </si>
  <si>
    <t xml:space="preserve">Minimum target fixed by the Commission (as printed)</t>
  </si>
  <si>
    <t xml:space="preserve">Target (numeric)</t>
  </si>
  <si>
    <t xml:space="preserve">TPWODL FY 2024-25 (as printed)</t>
  </si>
  <si>
    <t xml:space="preserve">TPWODL value (numeric)</t>
  </si>
  <si>
    <t xml:space="preserve">Unit (as published)</t>
  </si>
  <si>
    <t xml:space="preserve">Source</t>
  </si>
  <si>
    <t xml:space="preserve">R1</t>
  </si>
  <si>
    <t xml:space="preserve">Rectification of fuse-off call within 6 hrs. of receiving the complaint in urban areas</t>
  </si>
  <si>
    <t xml:space="preserve">Urban</t>
  </si>
  <si>
    <t xml:space="preserve">90</t>
  </si>
  <si>
    <t xml:space="preserve">100.00%</t>
  </si>
  <si>
    <t xml:space="preserve">%</t>
  </si>
  <si>
    <t xml:space="preserve">S3, OERC Achievement on Overall Standards of Performance FY 2024-25, p.1</t>
  </si>
  <si>
    <t xml:space="preserve">R2</t>
  </si>
  <si>
    <t xml:space="preserve">Rectification of fuse-off call within 24 hrs. of receiving the complaint in rural areas</t>
  </si>
  <si>
    <t xml:space="preserve">Rural</t>
  </si>
  <si>
    <t xml:space="preserve">R3</t>
  </si>
  <si>
    <t xml:space="preserve">Restoration of line break-down within 12 hrs. of receiving the complaint in urban areas</t>
  </si>
  <si>
    <t xml:space="preserve">95</t>
  </si>
  <si>
    <t xml:space="preserve">R4</t>
  </si>
  <si>
    <t xml:space="preserve">Restoration of line break-down within 24 hrs. of receiving the complaint in rural areas</t>
  </si>
  <si>
    <t xml:space="preserve">R5</t>
  </si>
  <si>
    <t xml:space="preserve">Replacement of Distribution Transformer within 24 hrs. of receiving the complaint in urban areas</t>
  </si>
  <si>
    <t xml:space="preserve">96.39%</t>
  </si>
  <si>
    <t xml:space="preserve">R6</t>
  </si>
  <si>
    <t xml:space="preserve">Replacement of Distribution Transformer within 48 hrs. of receiving the complaint in rural areas</t>
  </si>
  <si>
    <t xml:space="preserve">85.01%</t>
  </si>
  <si>
    <t xml:space="preserve">R7</t>
  </si>
  <si>
    <t xml:space="preserve">Completing the work within 12 hrs. of the scheduled outage before 5 PM/6 PM</t>
  </si>
  <si>
    <t xml:space="preserve">All</t>
  </si>
  <si>
    <t xml:space="preserve">--</t>
  </si>
  <si>
    <t xml:space="preserve">R8</t>
  </si>
  <si>
    <t xml:space="preserve">No. of cases in which voltage at the point of commencement of supply exceeded 3% of the voltage limits: EHT</t>
  </si>
  <si>
    <t xml:space="preserve">EHT</t>
  </si>
  <si>
    <t xml:space="preserve">(blank)</t>
  </si>
  <si>
    <t xml:space="preserve">-</t>
  </si>
  <si>
    <t xml:space="preserve">count (unit not established)</t>
  </si>
  <si>
    <t xml:space="preserve">R9</t>
  </si>
  <si>
    <t xml:space="preserve">No. of cases in which voltage at the point of commencement of supply exceeded 3% of the voltage limits: HT</t>
  </si>
  <si>
    <t xml:space="preserve">HT</t>
  </si>
  <si>
    <t xml:space="preserve">0.08</t>
  </si>
  <si>
    <t xml:space="preserve">R10</t>
  </si>
  <si>
    <t xml:space="preserve">No. of cases in which voltage at the point of commencement of supply exceeded 3% of the voltage limits: LT</t>
  </si>
  <si>
    <t xml:space="preserve">LT</t>
  </si>
  <si>
    <t xml:space="preserve">0</t>
  </si>
  <si>
    <t xml:space="preserve">R11</t>
  </si>
  <si>
    <t xml:space="preserve">No. of hourly measurement in which the supply frequency went beyond + 3%</t>
  </si>
  <si>
    <t xml:space="preserve">count</t>
  </si>
  <si>
    <t xml:space="preserve">R12</t>
  </si>
  <si>
    <t xml:space="preserve">Rectification of Street light fault within 6 hrs. of receiving the complaint</t>
  </si>
  <si>
    <t xml:space="preserve">R13</t>
  </si>
  <si>
    <t xml:space="preserve">No. of faulty bills prepared as a percentage of total no. of bills issued</t>
  </si>
  <si>
    <t xml:space="preserve">0.1</t>
  </si>
  <si>
    <t xml:space="preserve">0.00%</t>
  </si>
  <si>
    <t xml:space="preserve">R14</t>
  </si>
  <si>
    <t xml:space="preserve">No. of faulty/defective meters as a percentage of total no. of existing meters</t>
  </si>
  <si>
    <t xml:space="preserve">5</t>
  </si>
  <si>
    <t xml:space="preserve">0.05%</t>
  </si>
  <si>
    <t xml:space="preserve">R15</t>
  </si>
  <si>
    <t xml:space="preserve">Total no. of interruption each lasting more than 5 minutes faced by 1 KW connected load (SAIFI)(Nos.)</t>
  </si>
  <si>
    <t xml:space="preserve">424</t>
  </si>
  <si>
    <t xml:space="preserve">Nos. per 1 kW</t>
  </si>
  <si>
    <t xml:space="preserve">R16</t>
  </si>
  <si>
    <t xml:space="preserve">Total no. of interruption each lasting less than 5 minutes faced by 1 KW connected load (MAIFI)(Nos.)</t>
  </si>
  <si>
    <t xml:space="preserve">62</t>
  </si>
  <si>
    <t xml:space="preserve">R17</t>
  </si>
  <si>
    <t xml:space="preserve">Total duration of interruption in minutes each 1 KW connected load (SAIDI)(Minutes)</t>
  </si>
  <si>
    <t xml:space="preserve">20684</t>
  </si>
  <si>
    <t xml:space="preserve">Minutes per 1 kW</t>
  </si>
  <si>
    <t xml:space="preserve">Parameter</t>
  </si>
  <si>
    <t xml:space="preserve">Urban share (%)</t>
  </si>
  <si>
    <t xml:space="preserve">Rural share (%)</t>
  </si>
  <si>
    <t xml:space="preserve">Lower area share (%)</t>
  </si>
  <si>
    <t xml:space="preserve">Higher area share (%)</t>
  </si>
  <si>
    <t xml:space="preserve">Combined FY share (%)</t>
  </si>
  <si>
    <t xml:space="preserve">Regulatory threshold (%) (S1)</t>
  </si>
  <si>
    <t xml:space="preserve">Commission target shown in S3 (%)</t>
  </si>
  <si>
    <t xml:space="preserve">Threshold check (S1 = S3)</t>
  </si>
  <si>
    <t xml:space="preserve">Comparison possible? (dashboard decision)</t>
  </si>
  <si>
    <t xml:space="preserve">Aggregate test on S1 basis</t>
  </si>
  <si>
    <t xml:space="preserve">Area-level test (S3 presentation)</t>
  </si>
  <si>
    <t xml:space="preserve">Source / note</t>
  </si>
  <si>
    <t xml:space="preserve">S1-basis status (before dashboard decision)</t>
  </si>
  <si>
    <t xml:space="preserve">Normal fuse-off call rectification</t>
  </si>
  <si>
    <t xml:space="preserve">Yes</t>
  </si>
  <si>
    <t xml:space="preserve">S1 Sch. II 1.1 (p.14); time limits S1 Sch. I 1.2 (p.7); values OSoP_Reported R1-R2</t>
  </si>
  <si>
    <t xml:space="preserve">Line breakdown restoration</t>
  </si>
  <si>
    <t xml:space="preserve">No</t>
  </si>
  <si>
    <t xml:space="preserve">S1 Sch. II 1.2 (p.14); values OSoP_Reported R3-R4. Comparison not possible: S3 time from receipt of complaint, S1 from occurrence. Urban 100.00 / rural 100.00: combined share equals 100 because the area shares are equal</t>
  </si>
  <si>
    <t xml:space="preserve">Distribution transformer failure restoration</t>
  </si>
  <si>
    <t xml:space="preserve">S1 Sch. II 1.3 (p.14); time limits S1 Sch. I 1.4 (p.7); values OSoP_Reported R5-R6. Urban 96.39 above and rural 85.01 below the threshold: aggregate result not determinable without case counts, so comparison is marked not possible</t>
  </si>
  <si>
    <t xml:space="preserve">Reported value (%)</t>
  </si>
  <si>
    <t xml:space="preserve">Direction</t>
  </si>
  <si>
    <t xml:space="preserve">Test result (original basis)</t>
  </si>
  <si>
    <t xml:space="preserve">Margin to threshold (pp)</t>
  </si>
  <si>
    <t xml:space="preserve">Scheduled outage share</t>
  </si>
  <si>
    <t xml:space="preserve">At least</t>
  </si>
  <si>
    <t xml:space="preserve">S1 Sch. II 1.4 (p.14). Comparison not possible: standard also requires advance notice and a daily duration cap; reported item defined only as completion within 12 hours before 5 PM/6 PM</t>
  </si>
  <si>
    <t xml:space="preserve">Street-light fault rectification share</t>
  </si>
  <si>
    <t xml:space="preserve">S1 Sch. II 1.8 (p.16). No value reported for FY 2024-25</t>
  </si>
  <si>
    <t xml:space="preserve">Faulty-bill share</t>
  </si>
  <si>
    <t xml:space="preserve">Not more than</t>
  </si>
  <si>
    <t xml:space="preserve">S1 Sch. II 1.9 (p.16); reported 0.00% (printed with a percent sign)</t>
  </si>
  <si>
    <t xml:space="preserve">Defective-meter share</t>
  </si>
  <si>
    <t xml:space="preserve">S1 Sch. II 1.10 (p.16); reported 0.05% (printed with a percent sign); the value is below the 5% ceiling on any plausible reading</t>
  </si>
  <si>
    <t xml:space="preserve">Scale cross-check: defective-meter share (% of meters) by licensee</t>
  </si>
  <si>
    <t xml:space="preserve">FY 2024-25 (S3)</t>
  </si>
  <si>
    <t xml:space="preserve">Ceiling (S1)</t>
  </si>
  <si>
    <t xml:space="preserve">FY 2024-25 value above the ceiling?</t>
  </si>
  <si>
    <t xml:space="preserve">TPCODL</t>
  </si>
  <si>
    <t xml:space="preserve">TPNODL</t>
  </si>
  <si>
    <t xml:space="preserve">TPWODL</t>
  </si>
  <si>
    <t xml:space="preserve">TPSODL</t>
  </si>
  <si>
    <t xml:space="preserve">Scale cross-check: faulty-bill share (% of bills) by licensee</t>
  </si>
  <si>
    <t xml:space="preserve">Ceilings: S1 Sch. II 1.9 and 1.10 (S1 web copy)</t>
  </si>
  <si>
    <t xml:space="preserve">Index</t>
  </si>
  <si>
    <t xml:space="preserve">Reported FY value</t>
  </si>
  <si>
    <t xml:space="preserve">Unit (dashboard)</t>
  </si>
  <si>
    <t xml:space="preserve">Unit evidence</t>
  </si>
  <si>
    <t xml:space="preserve">Formula (S1 Sch. II 1.5, p.15)</t>
  </si>
  <si>
    <t xml:space="preserve">Note</t>
  </si>
  <si>
    <t xml:space="preserve">SAIDI</t>
  </si>
  <si>
    <t xml:space="preserve">Minutes per kW of connected load</t>
  </si>
  <si>
    <t xml:space="preserve">S3 '(Minutes)', 'each 1 KW connected load'</t>
  </si>
  <si>
    <t xml:space="preserve">Σ(Bi×Ni) ÷ Nt</t>
  </si>
  <si>
    <t xml:space="preserve">Annual value; no components reported</t>
  </si>
  <si>
    <t xml:space="preserve">SAIFI</t>
  </si>
  <si>
    <t xml:space="preserve">Interruptions per kW of connected load</t>
  </si>
  <si>
    <t xml:space="preserve">S3 '(Nos.)', 'faced by 1 KW connected load'; S1 formula (count × kW ÷ kW)</t>
  </si>
  <si>
    <t xml:space="preserve">Σ(Ai×Ni) ÷ Nt</t>
  </si>
  <si>
    <t xml:space="preserve">MAIFI</t>
  </si>
  <si>
    <t xml:space="preserve">Momentary interruptions per kW of connected load</t>
  </si>
  <si>
    <t xml:space="preserve">S3 '(Nos.)', 'faced by 1 KW connected load'; S1 formula</t>
  </si>
  <si>
    <t xml:space="preserve">Σ(Ci×Ni) ÷ Nt</t>
  </si>
  <si>
    <t xml:space="preserve">SAIDI in hours (information)</t>
  </si>
  <si>
    <t xml:space="preserve">Hours per kW of connected load</t>
  </si>
  <si>
    <t xml:space="preserve">Conversion ÷ 60</t>
  </si>
  <si>
    <t xml:space="preserve">Not applicable</t>
  </si>
  <si>
    <t xml:space="preserve">Not used on the dashboard</t>
  </si>
  <si>
    <t xml:space="preserve">Plausibility: SAIDI ÷ SAIFI</t>
  </si>
  <si>
    <t xml:space="preserve">Minutes per interruption</t>
  </si>
  <si>
    <t xml:space="preserve">Derived</t>
  </si>
  <si>
    <t xml:space="preserve">Plausibility check only; CAIDI is not specified in S1 or reported in S3 and is not a dashboard indicator</t>
  </si>
  <si>
    <t xml:space="preserve">Plausibility: MAIFI ÷ SAIFI</t>
  </si>
  <si>
    <t xml:space="preserve">Ratio</t>
  </si>
  <si>
    <t xml:space="preserve">Plausibility check only</t>
  </si>
  <si>
    <t xml:space="preserve">Cross-check: record note SAIFI (S4)</t>
  </si>
  <si>
    <t xml:space="preserve">Nos. per kW (unit not printed in S4)</t>
  </si>
  <si>
    <t xml:space="preserve">OERC record note of the TPWODL performance review (S4)</t>
  </si>
  <si>
    <t xml:space="preserve">Cross-check: record note SAIDI (S4)</t>
  </si>
  <si>
    <t xml:space="preserve">Hours per kW (as printed in S4)</t>
  </si>
  <si>
    <t xml:space="preserve">Voltage level</t>
  </si>
  <si>
    <t xml:space="preserve">As printed</t>
  </si>
  <si>
    <t xml:space="preserve">Numeric</t>
  </si>
  <si>
    <t xml:space="preserve">No value reported</t>
  </si>
  <si>
    <t xml:space="preserve">Reported; fractional, so not confirmable as a count of cases; unit not established</t>
  </si>
  <si>
    <t xml:space="preserve">Reported; zero</t>
  </si>
  <si>
    <t xml:space="preserve">Category</t>
  </si>
  <si>
    <t xml:space="preserve">FY 2023-24 (as printed)</t>
  </si>
  <si>
    <t xml:space="preserve">FY 2023-24</t>
  </si>
  <si>
    <t xml:space="preserve">FY 2024-25 (as printed)</t>
  </si>
  <si>
    <t xml:space="preserve">FY 2024-25</t>
  </si>
  <si>
    <t xml:space="preserve">Change (FY 2024-25 - FY 2023-24)</t>
  </si>
  <si>
    <t xml:space="preserve">Record note FY 2024-25 deaths (S4, item 12)</t>
  </si>
  <si>
    <t xml:space="preserve">Difference vs S3 FY 2024-25</t>
  </si>
  <si>
    <t xml:space="preserve">Status</t>
  </si>
  <si>
    <t xml:space="preserve">Fatal Human</t>
  </si>
  <si>
    <t xml:space="preserve">46</t>
  </si>
  <si>
    <t xml:space="preserve">08</t>
  </si>
  <si>
    <t xml:space="preserve">S3, OERC Achievement on Overall Standards of Performance FY 2024-25, p.1, accident table, TPWODL columns 23-24 / 24-25</t>
  </si>
  <si>
    <t xml:space="preserve">Non-fatal Human</t>
  </si>
  <si>
    <t xml:space="preserve">44</t>
  </si>
  <si>
    <t xml:space="preserve">12</t>
  </si>
  <si>
    <t xml:space="preserve">Not given</t>
  </si>
  <si>
    <t xml:space="preserve">n/a</t>
  </si>
  <si>
    <t xml:space="preserve">Fatal Animal</t>
  </si>
  <si>
    <t xml:space="preserve">28</t>
  </si>
  <si>
    <t xml:space="preserve">Non-fatal Animal</t>
  </si>
  <si>
    <t xml:space="preserve">00</t>
  </si>
  <si>
    <t xml:space="preserve">Total (all categories)</t>
  </si>
  <si>
    <t xml:space="preserve">Computed</t>
  </si>
  <si>
    <t xml:space="preserve">Source: record note (S4)</t>
  </si>
  <si>
    <t xml:space="preserve">Main-sheet indicator</t>
  </si>
  <si>
    <t xml:space="preserve">FY value (formula)</t>
  </si>
  <si>
    <t xml:space="preserve">Format</t>
  </si>
  <si>
    <t xml:space="preserve">Dashboard text (Annualised / standardised reported data)</t>
  </si>
  <si>
    <t xml:space="preserve">Normal fuse-off call rectification — share resolved within standard</t>
  </si>
  <si>
    <t xml:space="preserve">0.0%</t>
  </si>
  <si>
    <t xml:space="preserve">Line breakdown restoration — share resolved within standard</t>
  </si>
  <si>
    <t xml:space="preserve">Distribution transformer failure restoration — share resolved within standard</t>
  </si>
  <si>
    <t xml:space="preserve">Not annualised: case counts required to combine the urban and rural shares are not reported.</t>
  </si>
  <si>
    <t xml:space="preserve">Scheduled outage restoration — share resolved within standard</t>
  </si>
  <si>
    <t xml:space="preserve">Street-light fault rectification — share resolved within standard</t>
  </si>
  <si>
    <t xml:space="preserve">Not annualised: no reported value.</t>
  </si>
  <si>
    <t xml:space="preserve">Billing mistakes — faulty bills as share of bills issued</t>
  </si>
  <si>
    <t xml:space="preserve">Defective meters — share of meters in service</t>
  </si>
  <si>
    <t xml:space="preserve">System Average Interruption Duration Index (SAIDI)</t>
  </si>
  <si>
    <t xml:space="preserve">#,##0</t>
  </si>
  <si>
    <t xml:space="preserve">System Average Interruption Frequency Index (SAIFI)</t>
  </si>
  <si>
    <t xml:space="preserve">Momentary Average Interruption Frequency Index (MAIFI)</t>
  </si>
  <si>
    <t xml:space="preserve">Supply frequency outside ±3% of 50 Hz — number of hourly measurements</t>
  </si>
  <si>
    <t xml:space="preserve">Supply voltage at point of supply outside limits — number of cases (EHT / HT / LT)</t>
  </si>
  <si>
    <t xml:space="preserve">0.00</t>
  </si>
  <si>
    <t xml:space="preserve">Fatal electrical accidents — humans</t>
  </si>
  <si>
    <t xml:space="preserve">Non-fatal electrical accidents — humans</t>
  </si>
  <si>
    <t xml:space="preserve">Fatal electrical accidents — animals</t>
  </si>
  <si>
    <t xml:space="preserve">Non-fatal electrical accidents — animals</t>
  </si>
  <si>
    <t xml:space="preserve">FY 2023-24 value in the FY 2023-24 workbook</t>
  </si>
  <si>
    <t xml:space="preserve">FY 2023-24 value shown in the FY 2024-25 statement</t>
  </si>
  <si>
    <t xml:space="preserve">Difference</t>
  </si>
  <si>
    <t xml:space="preserve">FY 2023-24 source</t>
  </si>
  <si>
    <t xml:space="preserve">FY 2024-25 source</t>
  </si>
  <si>
    <t xml:space="preserve">Fatal human accidents</t>
  </si>
  <si>
    <t xml:space="preserve">TPWODL FY 2023-24 Calculations &gt; Accidents (S3 FY 2023-24 statement, p.1)</t>
  </si>
  <si>
    <t xml:space="preserve">Non-fatal human accidents</t>
  </si>
  <si>
    <t xml:space="preserve">Fatal animal accidents</t>
  </si>
  <si>
    <t xml:space="preserve">Non-fatal animal accidents</t>
  </si>
  <si>
    <t xml:space="preserve">Check</t>
  </si>
  <si>
    <t xml:space="preserve">Result</t>
  </si>
  <si>
    <t xml:space="preserve">Detail</t>
  </si>
  <si>
    <t xml:space="preserve">Row set vs FY 2023-24 main sheet</t>
  </si>
  <si>
    <t xml:space="preserve">Pass</t>
  </si>
  <si>
    <t xml:space="preserve">16 rows (FY 2023-24: 16); 16 of 16 indicator names identical in the same order; same parameters in the Commission's statement.</t>
  </si>
  <si>
    <t xml:space="preserve">Row-by-row field comparison</t>
  </si>
  <si>
    <t xml:space="preserve">Pass (genuine differences)</t>
  </si>
  <si>
    <t xml:space="preserve">Fields changed per row (excluding financial year): Normal fuse-off call rectification: no change other than financial year; Line breakdown restoration: Reported data, Annualised / standardised reported data, Documentation of standardisation / transformation; Distribution transformer failure restoration: Reported data; Scheduled outage restoration: no change other than financial year; Street-light fault rectification: Reported data, If comparison is not possible, why?; Billing mistakes: Reported data, Annualised / standardised reported data; Defective meters: Reported data, Annualised / standardised reported data; System Average Interruption Duration Index (SAIDI): Reported data, Annualised / standardised reported data, If comparison is not possible, why?; System Average Interruption Frequency Index (SAIFI): Reported data, Annualised / standardised reported data, If comparison is not possible, why?; Momentary Average Interruption Frequency Index (MAIFI): Reported data, Annualised / standardised reported data, If comparison is not possible, why?; Supply frequency outside ±3% of 50 Hz: Reported data, If comparison is not possible, why?; Supply voltage at point of supply outside limits: Reported data, Annualised / standardised reported data, If comparison is not possible, why?, Interpretation; Fatal electrical accidents: Reported data, Annualised / standardised reported data; Non-fatal electrical accidents: Reported data, Annualised / standardised reported data; Fatal electrical accidents: Reported data, Annualised / standardised reported data; Non-fatal electrical accidents: no change other than financial year</t>
  </si>
  <si>
    <t xml:space="preserve">Rows unchanged apart from financial year</t>
  </si>
  <si>
    <t xml:space="preserve">Normal fuse-off call rectification, Scheduled outage restoration, Non-fatal electrical accidents</t>
  </si>
  <si>
    <t xml:space="preserve">Comparison / compliance logic</t>
  </si>
  <si>
    <t xml:space="preserve">Same Yes / No pattern as FY 2023-24: distribution transformer stays No/N/A (urban 96.39% above and rural 85.01% below the 95% aggregate threshold, case counts not reported); line breakdown stays No/N/A (clock-start difference). 3 rows Yes/Yes (fuse-off, faulty bills, defective meters); 13 rows No/N/A. The voltage row now carries HT and LT values.</t>
  </si>
  <si>
    <t xml:space="preserve">Standards</t>
  </si>
  <si>
    <t xml:space="preserve">Standard column identical to FY 2023-24 in 16 of 16 rows because S1 (as amended by S2) is unchanged; re-checked against S1 Sch. I and II.</t>
  </si>
  <si>
    <t xml:space="preserve">Supporting-sheet and calculations structure</t>
  </si>
  <si>
    <t xml:space="preserve">Same sheet set as FY 2023-24. Corrected in this file: parameter labels and areas of the voltage and frequency rows in OSoP_Reported (previous file had them offset by one row) and the FY notation in Conventions.</t>
  </si>
  <si>
    <t xml:space="preserve">Substantive evidence re-established</t>
  </si>
  <si>
    <t xml:space="preserve">All values, page references, flags and review items re-extracted from the FY 2024-25 statement and S1/S2; none copied from earlier years.</t>
  </si>
  <si>
    <t xml:space="preserve">Consistency with the completed second-pass years</t>
  </si>
  <si>
    <t xml:space="preserve">DISCOM field, FY notation convention and source numbering follow the completed FY 2021-22 to FY 2023-24 workbooks. All 16 Main rows keep the same names, categories, units, Standard wording and comparison logic.</t>
  </si>
  <si>
    <t xml:space="preserve">Evidence</t>
  </si>
  <si>
    <t xml:space="preserve">Full permitted repository searched</t>
  </si>
  <si>
    <t xml:space="preserve">Repository: S1, S2, S3 (FY 2024-25 statement), the FY 2023-24, FY 2022-23 and FY 2021-22 statements, the context document, the previous TPWODL workbooks and the UGVCL reference workbooks. The connected Google Drive was searched again (TPWODL, Overall Standards of Performance, OERC); no relevant documents found.</t>
  </si>
  <si>
    <t xml:space="preserve">Regulatory and reported-performance sources reviewed</t>
  </si>
  <si>
    <t xml:space="preserve">Regulatory: S1 and S2 re-read for applicability to FY 2024-25. Reported: S3 (single page, text and rendered image).</t>
  </si>
  <si>
    <t xml:space="preserve">Applicable regulation re-established</t>
  </si>
  <si>
    <t xml:space="preserve">S1 as amended by S2 in force throughout FY 2024-25; no repeal or replacement found (recorded in Source_Gaps).</t>
  </si>
  <si>
    <t xml:space="preserve">Amendments checked</t>
  </si>
  <si>
    <t xml:space="preserve">Pass (gap recorded)</t>
  </si>
  <si>
    <t xml:space="preserve">S2 does not alter Schedule II standards or formulas. No later amendment found; recorded in Source_Gaps.</t>
  </si>
  <si>
    <t xml:space="preserve">Definitions, units, formulas, reporting basis re-verified</t>
  </si>
  <si>
    <t xml:space="preserve">Thresholds from S1 Sch. II; reliability formulas S1 p.15 (connected-load weighting); units from S3 labels and S1 formulas; reporting basis annual (S3).</t>
  </si>
  <si>
    <t xml:space="preserve">Unit check: every quantitative indicator</t>
  </si>
  <si>
    <t xml:space="preserve">Pass (voltage unit flagged)</t>
  </si>
  <si>
    <t xml:space="preserve">Shares %; SAIDI minutes per kW; SAIFI interruptions per kW; MAIFI momentary interruptions per kW; accidents count. Voltage-case unit not established (fractional HT value), flagged.</t>
  </si>
  <si>
    <t xml:space="preserve">Annualisation-method check</t>
  </si>
  <si>
    <t xml:space="preserve">All values annual; no summing, averaging, multiplication or extrapolation. Combined urban/rural shares derived only where both area shares are equal.</t>
  </si>
  <si>
    <t xml:space="preserve">Detailed-figures check (Reported data and Annualised fields)</t>
  </si>
  <si>
    <t xml:space="preserve">Automated scan of 16 rows: no counts, numerators, denominators, balances, prior-year values or inputs.</t>
  </si>
  <si>
    <t xml:space="preserve">Comparison possible? / Standard met? logic</t>
  </si>
  <si>
    <t xml:space="preserve">16 of 16 rows consistent: 13 rows No / N/A; 3 rows Yes / Yes, each assessed on the original S1 basis.</t>
  </si>
  <si>
    <t xml:space="preserve">Standards not transformed</t>
  </si>
  <si>
    <t xml:space="preserve">Standards stated as aggregate shares or limits exactly as in S1.</t>
  </si>
  <si>
    <t xml:space="preserve">Main sheet columns and public-facing language</t>
  </si>
  <si>
    <t xml:space="preserve">Exact 13 prescribed columns; internal-process phrase scan clean.</t>
  </si>
  <si>
    <t xml:space="preserve">Dashboard transfer reconciliation</t>
  </si>
  <si>
    <t xml:space="preserve">Annualised text in Dashboard_Transfer (formula-built or fixed) matches the main sheet for all 16 rows (automated check after recalculation).</t>
  </si>
  <si>
    <t xml:space="preserve">Row-by-row consistency with FY 2023-24</t>
  </si>
  <si>
    <t xml:space="preserve">See PriorFY_Row_Check.</t>
  </si>
  <si>
    <t xml:space="preserve">Reconciliations and flags</t>
  </si>
  <si>
    <t xml:space="preserve">Pass (flags documented)</t>
  </si>
  <si>
    <t xml:space="preserve">Threshold check S1 = S3 targets: OK. Accident continuity with FY 2023-24 workbook: OK. Data flags recorded in Data_Quality_Flags.</t>
  </si>
  <si>
    <t xml:space="preserve">Regulatory status verified for each instrument used</t>
  </si>
  <si>
    <t xml:space="preserve">Pass (limits recorded)</t>
  </si>
  <si>
    <t xml:space="preserve">S1, S2 (final, notified; gazette details S12); S5 (final central rules); S7 (listed as gazette notification; number not stated in the document). Drafts excluded.</t>
  </si>
  <si>
    <t xml:space="preserve">No draft or proposed regulation used as a standard</t>
  </si>
  <si>
    <t xml:space="preserve">The 2019 and 2025 drafts are recorded in Source_Gaps as excluded.</t>
  </si>
  <si>
    <t xml:space="preserve">Source links are clickable and lead to the intended document or hosting page</t>
  </si>
  <si>
    <t xml:space="preserve">Links were opened with a fetch tool. Limits: S5 is a copy hosted by another State Commission; the TPWODL page could not be read.</t>
  </si>
  <si>
    <t xml:space="preserve">Reported values verified against a second copy</t>
  </si>
  <si>
    <t xml:space="preserve">Not possible</t>
  </si>
  <si>
    <t xml:space="preserve">No second public copy of the FY 2024-25 statement located (Source_Gaps). Cross-check against the Commission's review record note (S4) shows differences for SAIFI, SAIDI and fatal accidents (Review_Items).</t>
  </si>
  <si>
    <t xml:space="preserve">Changes highlighted and noted</t>
  </si>
  <si>
    <t xml:space="preserve">Changed cells carry the common highlight and a cell note; typography-only edits (dashes) are not highlighted.</t>
  </si>
  <si>
    <t xml:space="preserve">Sources-folder requirements checked against the completed Main sheet</t>
  </si>
  <si>
    <t xml:space="preserve">Pass (limit recorded)</t>
  </si>
  <si>
    <t xml:space="preserve">No new document is required beyond S5, S6, S7, S11 and S12 identified for FY 2021-22 (presence in the folder not verified). The existing Sources folder could not be located or inspected.</t>
  </si>
</sst>
</file>

<file path=xl/styles.xml><?xml version="1.0" encoding="utf-8"?>
<styleSheet xmlns="http://schemas.openxmlformats.org/spreadsheetml/2006/main">
  <numFmts count="7">
    <numFmt numFmtId="164" formatCode="General"/>
    <numFmt numFmtId="165" formatCode="0.00"/>
    <numFmt numFmtId="166" formatCode="0"/>
    <numFmt numFmtId="167" formatCode="0.0000"/>
    <numFmt numFmtId="168" formatCode="#,##0"/>
    <numFmt numFmtId="169" formatCode="#,##0.00"/>
    <numFmt numFmtId="170"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name val="Arial"/>
      <family val="2"/>
    </font>
    <font>
      <sz val="10"/>
      <color rgb="FF0000FF"/>
      <name val="Arial"/>
      <family val="0"/>
      <charset val="1"/>
    </font>
    <font>
      <sz val="10"/>
      <color rgb="FF008000"/>
      <name val="Arial"/>
      <family val="0"/>
      <charset val="1"/>
    </font>
    <font>
      <u val="single"/>
      <sz val="10"/>
      <color rgb="FF0563C1"/>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E699"/>
        <bgColor rgb="FFFFCC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top" textRotation="0" wrapText="true" indent="0" shrinkToFit="false"/>
      <protection locked="true" hidden="false"/>
    </xf>
    <xf numFmtId="169" fontId="5"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70"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orierc.org/OERCOLD/Orders/regulations/Licensee_s_standard_of_performance.pdf" TargetMode="Externa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ww.orierc.org/CuteSoft_Client/writereaddata/upload/PerfomanceTPWODLuptoMar2025.pdf" TargetMode="External"/><Relationship Id="rId3" Type="http://schemas.openxmlformats.org/officeDocument/2006/relationships/hyperlink" Target="https://www.orierc.org/CuteSoft_Client/writereaddata/upload/PerfomanceTPWODLuptoMar2025.pdf" TargetMode="External"/><Relationship Id="rId4"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ww.orierc.org/CuteSoft_Client/writereaddata/upload/PerfomanceTPWODLuptoMar2025.pdf" TargetMode="External"/><Relationship Id="rId3" Type="http://schemas.openxmlformats.org/officeDocument/2006/relationships/vmlDrawing" Target="../drawings/vmlDrawing4.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5.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20"/>
  </cols>
  <sheetData>
    <row r="1" customFormat="false" ht="15" hidden="false" customHeight="true" outlineLevel="0" collapsed="false">
      <c r="A1" s="2" t="s">
        <v>0</v>
      </c>
      <c r="B1" s="2" t="s">
        <v>1</v>
      </c>
    </row>
    <row r="2" customFormat="false" ht="34.5" hidden="false" customHeight="true" outlineLevel="0" collapsed="false">
      <c r="A2" s="3" t="s">
        <v>2</v>
      </c>
      <c r="B2" s="3" t="s">
        <v>3</v>
      </c>
    </row>
    <row r="3" customFormat="false" ht="15" hidden="false" customHeight="true" outlineLevel="0" collapsed="false">
      <c r="A3" s="3" t="s">
        <v>4</v>
      </c>
      <c r="B3" s="3" t="s">
        <v>5</v>
      </c>
    </row>
    <row r="4" customFormat="false" ht="45.75" hidden="false" customHeight="true" outlineLevel="0" collapsed="false">
      <c r="A4" s="3" t="s">
        <v>6</v>
      </c>
      <c r="B4" s="3" t="s">
        <v>7</v>
      </c>
    </row>
    <row r="5" customFormat="false" ht="79.5" hidden="false" customHeight="true" outlineLevel="0" collapsed="false">
      <c r="A5" s="3" t="s">
        <v>8</v>
      </c>
      <c r="B5" s="3" t="s">
        <v>9</v>
      </c>
    </row>
    <row r="6" customFormat="false" ht="23.25" hidden="false" customHeight="true" outlineLevel="0" collapsed="false">
      <c r="A6" s="3" t="s">
        <v>10</v>
      </c>
      <c r="B6" s="3" t="s">
        <v>11</v>
      </c>
    </row>
    <row r="7" customFormat="false" ht="34.5" hidden="false" customHeight="true" outlineLevel="0" collapsed="false">
      <c r="A7" s="3" t="s">
        <v>12</v>
      </c>
      <c r="B7" s="3" t="s">
        <v>13</v>
      </c>
    </row>
    <row r="8" customFormat="false" ht="23.25" hidden="false" customHeight="true" outlineLevel="0" collapsed="false">
      <c r="A8" s="3" t="s">
        <v>14</v>
      </c>
      <c r="B8" s="3" t="s">
        <v>15</v>
      </c>
    </row>
    <row r="9" customFormat="false" ht="23.25" hidden="false" customHeight="true" outlineLevel="0" collapsed="false">
      <c r="A9" s="3" t="s">
        <v>16</v>
      </c>
      <c r="B9" s="3" t="s">
        <v>17</v>
      </c>
    </row>
    <row r="10" customFormat="false" ht="23.25" hidden="false" customHeight="true" outlineLevel="0" collapsed="false">
      <c r="A10" s="3" t="s">
        <v>18</v>
      </c>
      <c r="B10" s="3" t="s">
        <v>19</v>
      </c>
    </row>
    <row r="11" customFormat="false" ht="34.5" hidden="false" customHeight="true" outlineLevel="0" collapsed="false">
      <c r="A11" s="3" t="s">
        <v>20</v>
      </c>
      <c r="B11" s="3" t="s">
        <v>21</v>
      </c>
    </row>
    <row r="12" customFormat="false" ht="23.25" hidden="false" customHeight="true" outlineLevel="0" collapsed="false">
      <c r="A12" s="3" t="s">
        <v>22</v>
      </c>
      <c r="B12" s="3" t="s">
        <v>23</v>
      </c>
    </row>
    <row r="13" customFormat="false" ht="23.25" hidden="false" customHeight="true" outlineLevel="0" collapsed="false">
      <c r="A13" s="3" t="s">
        <v>24</v>
      </c>
      <c r="B13" s="3" t="s">
        <v>25</v>
      </c>
    </row>
    <row r="14" customFormat="false" ht="23.85" hidden="false" customHeight="false" outlineLevel="0" collapsed="false">
      <c r="A14" s="4" t="s">
        <v>26</v>
      </c>
      <c r="B14" s="4" t="s">
        <v>27</v>
      </c>
    </row>
    <row r="15" customFormat="false" ht="23.85" hidden="false" customHeight="false" outlineLevel="0" collapsed="false">
      <c r="A15" s="4" t="s">
        <v>28</v>
      </c>
      <c r="B15" s="4" t="s">
        <v>29</v>
      </c>
    </row>
    <row r="16" customFormat="false" ht="35.05" hidden="false" customHeight="false" outlineLevel="0" collapsed="false">
      <c r="A16" s="4" t="s">
        <v>30</v>
      </c>
      <c r="B16" s="4" t="s">
        <v>31</v>
      </c>
    </row>
    <row r="17" customFormat="false" ht="23.85" hidden="false" customHeight="false" outlineLevel="0" collapsed="false">
      <c r="A17" s="4" t="s">
        <v>32</v>
      </c>
      <c r="B17" s="4"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0"/>
    <col collapsed="false" customWidth="true" hidden="false" outlineLevel="0" max="3" min="3" style="1" width="8"/>
    <col collapsed="false" customWidth="true" hidden="false" outlineLevel="0" max="4" min="4" style="1" width="16"/>
    <col collapsed="false" customWidth="true" hidden="false" outlineLevel="0" max="5" min="5" style="1" width="11"/>
    <col collapsed="false" customWidth="true" hidden="false" outlineLevel="0" max="6" min="6" style="1" width="16"/>
    <col collapsed="false" customWidth="true" hidden="false" outlineLevel="0" max="7" min="7" style="1" width="12"/>
    <col collapsed="false" customWidth="true" hidden="false" outlineLevel="0" max="8" min="8" style="1" width="14"/>
    <col collapsed="false" customWidth="true" hidden="false" outlineLevel="0" max="9" min="9" style="1" width="40"/>
  </cols>
  <sheetData>
    <row r="1" customFormat="false" ht="45.75" hidden="false" customHeight="true" outlineLevel="0" collapsed="false">
      <c r="A1" s="2" t="s">
        <v>34</v>
      </c>
      <c r="B1" s="2" t="s">
        <v>35</v>
      </c>
      <c r="C1" s="2" t="s">
        <v>36</v>
      </c>
      <c r="D1" s="2" t="s">
        <v>37</v>
      </c>
      <c r="E1" s="2" t="s">
        <v>38</v>
      </c>
      <c r="F1" s="2" t="s">
        <v>39</v>
      </c>
      <c r="G1" s="2" t="s">
        <v>40</v>
      </c>
      <c r="H1" s="2" t="s">
        <v>41</v>
      </c>
      <c r="I1" s="2" t="s">
        <v>42</v>
      </c>
    </row>
    <row r="2" customFormat="false" ht="23.25" hidden="false" customHeight="true" outlineLevel="0" collapsed="false">
      <c r="A2" s="3" t="s">
        <v>43</v>
      </c>
      <c r="B2" s="5" t="s">
        <v>44</v>
      </c>
      <c r="C2" s="5" t="s">
        <v>45</v>
      </c>
      <c r="D2" s="5" t="s">
        <v>46</v>
      </c>
      <c r="E2" s="5" t="n">
        <v>90</v>
      </c>
      <c r="F2" s="5" t="s">
        <v>47</v>
      </c>
      <c r="G2" s="6" t="n">
        <v>100</v>
      </c>
      <c r="H2" s="5" t="s">
        <v>48</v>
      </c>
      <c r="I2" s="3" t="s">
        <v>49</v>
      </c>
    </row>
    <row r="3" customFormat="false" ht="23.25" hidden="false" customHeight="true" outlineLevel="0" collapsed="false">
      <c r="A3" s="3" t="s">
        <v>50</v>
      </c>
      <c r="B3" s="5" t="s">
        <v>51</v>
      </c>
      <c r="C3" s="5" t="s">
        <v>52</v>
      </c>
      <c r="D3" s="5" t="s">
        <v>46</v>
      </c>
      <c r="E3" s="5" t="n">
        <v>90</v>
      </c>
      <c r="F3" s="5" t="s">
        <v>47</v>
      </c>
      <c r="G3" s="6" t="n">
        <v>100</v>
      </c>
      <c r="H3" s="5" t="s">
        <v>48</v>
      </c>
      <c r="I3" s="3" t="s">
        <v>49</v>
      </c>
    </row>
    <row r="4" customFormat="false" ht="23.25" hidden="false" customHeight="true" outlineLevel="0" collapsed="false">
      <c r="A4" s="3" t="s">
        <v>53</v>
      </c>
      <c r="B4" s="5" t="s">
        <v>54</v>
      </c>
      <c r="C4" s="5" t="s">
        <v>45</v>
      </c>
      <c r="D4" s="5" t="s">
        <v>55</v>
      </c>
      <c r="E4" s="5" t="n">
        <v>95</v>
      </c>
      <c r="F4" s="5" t="s">
        <v>47</v>
      </c>
      <c r="G4" s="6" t="n">
        <v>100</v>
      </c>
      <c r="H4" s="5" t="s">
        <v>48</v>
      </c>
      <c r="I4" s="3" t="s">
        <v>49</v>
      </c>
    </row>
    <row r="5" customFormat="false" ht="23.25" hidden="false" customHeight="true" outlineLevel="0" collapsed="false">
      <c r="A5" s="3" t="s">
        <v>56</v>
      </c>
      <c r="B5" s="5" t="s">
        <v>57</v>
      </c>
      <c r="C5" s="5" t="s">
        <v>52</v>
      </c>
      <c r="D5" s="5" t="s">
        <v>55</v>
      </c>
      <c r="E5" s="5" t="n">
        <v>95</v>
      </c>
      <c r="F5" s="5" t="s">
        <v>47</v>
      </c>
      <c r="G5" s="6" t="n">
        <v>100</v>
      </c>
      <c r="H5" s="5" t="s">
        <v>48</v>
      </c>
      <c r="I5" s="3" t="s">
        <v>49</v>
      </c>
    </row>
    <row r="6" customFormat="false" ht="23.25" hidden="false" customHeight="true" outlineLevel="0" collapsed="false">
      <c r="A6" s="3" t="s">
        <v>58</v>
      </c>
      <c r="B6" s="5" t="s">
        <v>59</v>
      </c>
      <c r="C6" s="5" t="s">
        <v>45</v>
      </c>
      <c r="D6" s="5" t="s">
        <v>55</v>
      </c>
      <c r="E6" s="5" t="n">
        <v>95</v>
      </c>
      <c r="F6" s="5" t="s">
        <v>60</v>
      </c>
      <c r="G6" s="6" t="n">
        <v>96.39</v>
      </c>
      <c r="H6" s="5" t="s">
        <v>48</v>
      </c>
      <c r="I6" s="3" t="s">
        <v>49</v>
      </c>
    </row>
    <row r="7" customFormat="false" ht="23.25" hidden="false" customHeight="true" outlineLevel="0" collapsed="false">
      <c r="A7" s="3" t="s">
        <v>61</v>
      </c>
      <c r="B7" s="5" t="s">
        <v>62</v>
      </c>
      <c r="C7" s="5" t="s">
        <v>52</v>
      </c>
      <c r="D7" s="5" t="s">
        <v>55</v>
      </c>
      <c r="E7" s="5" t="n">
        <v>95</v>
      </c>
      <c r="F7" s="5" t="s">
        <v>63</v>
      </c>
      <c r="G7" s="6" t="n">
        <v>85.01</v>
      </c>
      <c r="H7" s="5" t="s">
        <v>48</v>
      </c>
      <c r="I7" s="3" t="s">
        <v>49</v>
      </c>
    </row>
    <row r="8" customFormat="false" ht="23.25" hidden="false" customHeight="true" outlineLevel="0" collapsed="false">
      <c r="A8" s="3" t="s">
        <v>64</v>
      </c>
      <c r="B8" s="5" t="s">
        <v>65</v>
      </c>
      <c r="C8" s="5" t="s">
        <v>66</v>
      </c>
      <c r="D8" s="5" t="s">
        <v>67</v>
      </c>
      <c r="E8" s="5"/>
      <c r="F8" s="5" t="s">
        <v>47</v>
      </c>
      <c r="G8" s="6" t="n">
        <v>100</v>
      </c>
      <c r="H8" s="5" t="s">
        <v>48</v>
      </c>
      <c r="I8" s="3" t="s">
        <v>49</v>
      </c>
    </row>
    <row r="9" customFormat="false" ht="23.25" hidden="false" customHeight="true" outlineLevel="0" collapsed="false">
      <c r="A9" s="3" t="s">
        <v>68</v>
      </c>
      <c r="B9" s="5" t="s">
        <v>69</v>
      </c>
      <c r="C9" s="5" t="s">
        <v>70</v>
      </c>
      <c r="D9" s="5" t="s">
        <v>71</v>
      </c>
      <c r="E9" s="5"/>
      <c r="F9" s="5" t="s">
        <v>72</v>
      </c>
      <c r="G9" s="6"/>
      <c r="H9" s="5" t="s">
        <v>73</v>
      </c>
      <c r="I9" s="3" t="s">
        <v>49</v>
      </c>
    </row>
    <row r="10" customFormat="false" ht="23.25" hidden="false" customHeight="true" outlineLevel="0" collapsed="false">
      <c r="A10" s="3" t="s">
        <v>74</v>
      </c>
      <c r="B10" s="5" t="s">
        <v>75</v>
      </c>
      <c r="C10" s="5" t="s">
        <v>76</v>
      </c>
      <c r="D10" s="5" t="s">
        <v>71</v>
      </c>
      <c r="E10" s="5"/>
      <c r="F10" s="5" t="s">
        <v>77</v>
      </c>
      <c r="G10" s="6" t="n">
        <v>0.08</v>
      </c>
      <c r="H10" s="5" t="s">
        <v>73</v>
      </c>
      <c r="I10" s="3" t="s">
        <v>49</v>
      </c>
    </row>
    <row r="11" customFormat="false" ht="23.25" hidden="false" customHeight="true" outlineLevel="0" collapsed="false">
      <c r="A11" s="3" t="s">
        <v>78</v>
      </c>
      <c r="B11" s="5" t="s">
        <v>79</v>
      </c>
      <c r="C11" s="5" t="s">
        <v>80</v>
      </c>
      <c r="D11" s="5" t="s">
        <v>71</v>
      </c>
      <c r="E11" s="5"/>
      <c r="F11" s="5" t="s">
        <v>81</v>
      </c>
      <c r="G11" s="7" t="n">
        <v>0</v>
      </c>
      <c r="H11" s="5" t="s">
        <v>73</v>
      </c>
      <c r="I11" s="3" t="s">
        <v>49</v>
      </c>
    </row>
    <row r="12" customFormat="false" ht="23.25" hidden="false" customHeight="true" outlineLevel="0" collapsed="false">
      <c r="A12" s="3" t="s">
        <v>82</v>
      </c>
      <c r="B12" s="5" t="s">
        <v>83</v>
      </c>
      <c r="C12" s="5" t="s">
        <v>66</v>
      </c>
      <c r="D12" s="5" t="s">
        <v>67</v>
      </c>
      <c r="E12" s="5"/>
      <c r="F12" s="5" t="s">
        <v>67</v>
      </c>
      <c r="G12" s="6"/>
      <c r="H12" s="5" t="s">
        <v>84</v>
      </c>
      <c r="I12" s="3" t="s">
        <v>49</v>
      </c>
    </row>
    <row r="13" customFormat="false" ht="23.25" hidden="false" customHeight="true" outlineLevel="0" collapsed="false">
      <c r="A13" s="3" t="s">
        <v>85</v>
      </c>
      <c r="B13" s="5" t="s">
        <v>86</v>
      </c>
      <c r="C13" s="5" t="s">
        <v>66</v>
      </c>
      <c r="D13" s="5" t="s">
        <v>46</v>
      </c>
      <c r="E13" s="5" t="n">
        <v>90</v>
      </c>
      <c r="F13" s="5" t="s">
        <v>72</v>
      </c>
      <c r="G13" s="6"/>
      <c r="H13" s="5" t="s">
        <v>48</v>
      </c>
      <c r="I13" s="3" t="s">
        <v>49</v>
      </c>
    </row>
    <row r="14" customFormat="false" ht="23.25" hidden="false" customHeight="true" outlineLevel="0" collapsed="false">
      <c r="A14" s="3" t="s">
        <v>87</v>
      </c>
      <c r="B14" s="5" t="s">
        <v>88</v>
      </c>
      <c r="C14" s="5" t="s">
        <v>66</v>
      </c>
      <c r="D14" s="5" t="s">
        <v>89</v>
      </c>
      <c r="E14" s="5" t="n">
        <v>0.1</v>
      </c>
      <c r="F14" s="5" t="s">
        <v>90</v>
      </c>
      <c r="G14" s="6" t="n">
        <v>0</v>
      </c>
      <c r="H14" s="5" t="s">
        <v>48</v>
      </c>
      <c r="I14" s="3" t="s">
        <v>49</v>
      </c>
    </row>
    <row r="15" customFormat="false" ht="23.25" hidden="false" customHeight="true" outlineLevel="0" collapsed="false">
      <c r="A15" s="3" t="s">
        <v>91</v>
      </c>
      <c r="B15" s="5" t="s">
        <v>92</v>
      </c>
      <c r="C15" s="5" t="s">
        <v>66</v>
      </c>
      <c r="D15" s="5" t="s">
        <v>93</v>
      </c>
      <c r="E15" s="5" t="n">
        <v>5</v>
      </c>
      <c r="F15" s="5" t="s">
        <v>94</v>
      </c>
      <c r="G15" s="6" t="n">
        <v>0.05</v>
      </c>
      <c r="H15" s="5" t="s">
        <v>48</v>
      </c>
      <c r="I15" s="3" t="s">
        <v>49</v>
      </c>
    </row>
    <row r="16" customFormat="false" ht="23.25" hidden="false" customHeight="true" outlineLevel="0" collapsed="false">
      <c r="A16" s="3" t="s">
        <v>95</v>
      </c>
      <c r="B16" s="5" t="s">
        <v>96</v>
      </c>
      <c r="C16" s="5" t="s">
        <v>66</v>
      </c>
      <c r="D16" s="5" t="s">
        <v>71</v>
      </c>
      <c r="E16" s="5"/>
      <c r="F16" s="5" t="s">
        <v>97</v>
      </c>
      <c r="G16" s="6" t="n">
        <v>424</v>
      </c>
      <c r="H16" s="5" t="s">
        <v>98</v>
      </c>
      <c r="I16" s="3" t="s">
        <v>49</v>
      </c>
    </row>
    <row r="17" customFormat="false" ht="23.25" hidden="false" customHeight="true" outlineLevel="0" collapsed="false">
      <c r="A17" s="3" t="s">
        <v>99</v>
      </c>
      <c r="B17" s="5" t="s">
        <v>100</v>
      </c>
      <c r="C17" s="5" t="s">
        <v>66</v>
      </c>
      <c r="D17" s="5" t="s">
        <v>71</v>
      </c>
      <c r="E17" s="5"/>
      <c r="F17" s="5" t="s">
        <v>101</v>
      </c>
      <c r="G17" s="6" t="n">
        <v>62</v>
      </c>
      <c r="H17" s="5" t="s">
        <v>98</v>
      </c>
      <c r="I17" s="3" t="s">
        <v>49</v>
      </c>
    </row>
    <row r="18" customFormat="false" ht="23.25" hidden="false" customHeight="true" outlineLevel="0" collapsed="false">
      <c r="A18" s="3" t="s">
        <v>102</v>
      </c>
      <c r="B18" s="5" t="s">
        <v>103</v>
      </c>
      <c r="C18" s="5" t="s">
        <v>66</v>
      </c>
      <c r="D18" s="5" t="s">
        <v>71</v>
      </c>
      <c r="E18" s="5"/>
      <c r="F18" s="5" t="s">
        <v>104</v>
      </c>
      <c r="G18" s="6" t="n">
        <v>20684</v>
      </c>
      <c r="H18" s="5" t="s">
        <v>105</v>
      </c>
      <c r="I18" s="3"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0"/>
    <col collapsed="false" customWidth="true" hidden="false" outlineLevel="0" max="6" min="6" style="1" width="12"/>
    <col collapsed="false" customWidth="true" hidden="false" outlineLevel="0" max="8" min="7" style="1" width="11"/>
    <col collapsed="false" customWidth="true" hidden="false" outlineLevel="0" max="9" min="9" style="1" width="10"/>
    <col collapsed="false" customWidth="true" hidden="false" outlineLevel="0" max="11" min="10" style="1" width="12"/>
    <col collapsed="false" customWidth="true" hidden="false" outlineLevel="0" max="12" min="12" style="1" width="16"/>
    <col collapsed="false" customWidth="true" hidden="false" outlineLevel="0" max="13" min="13" style="1" width="50"/>
    <col collapsed="false" customWidth="true" hidden="false" outlineLevel="0" max="14" min="14" style="1" width="30"/>
  </cols>
  <sheetData>
    <row r="1" customFormat="false" ht="45.75" hidden="false" customHeight="true" outlineLevel="0" collapsed="false">
      <c r="A1" s="2" t="s">
        <v>106</v>
      </c>
      <c r="B1" s="2" t="s">
        <v>107</v>
      </c>
      <c r="C1" s="2" t="s">
        <v>108</v>
      </c>
      <c r="D1" s="2" t="s">
        <v>109</v>
      </c>
      <c r="E1" s="2" t="s">
        <v>110</v>
      </c>
      <c r="F1" s="2" t="s">
        <v>111</v>
      </c>
      <c r="G1" s="2" t="s">
        <v>112</v>
      </c>
      <c r="H1" s="2" t="s">
        <v>113</v>
      </c>
      <c r="I1" s="2" t="s">
        <v>114</v>
      </c>
      <c r="J1" s="2" t="s">
        <v>115</v>
      </c>
      <c r="K1" s="2" t="s">
        <v>116</v>
      </c>
      <c r="L1" s="2" t="s">
        <v>117</v>
      </c>
      <c r="M1" s="2" t="s">
        <v>118</v>
      </c>
      <c r="N1" s="2" t="s">
        <v>119</v>
      </c>
    </row>
    <row r="2" customFormat="false" ht="23.25" hidden="false" customHeight="true" outlineLevel="0" collapsed="false">
      <c r="A2" s="3" t="s">
        <v>120</v>
      </c>
      <c r="B2" s="8" t="n">
        <f aca="false">OSoP_Reported!G2</f>
        <v>100</v>
      </c>
      <c r="C2" s="8" t="n">
        <f aca="false">OSoP_Reported!G3</f>
        <v>100</v>
      </c>
      <c r="D2" s="9" t="n">
        <f aca="false">MIN(B2,C2)</f>
        <v>100</v>
      </c>
      <c r="E2" s="9" t="n">
        <f aca="false">MAX(B2,C2)</f>
        <v>100</v>
      </c>
      <c r="F2" s="9" t="n">
        <f aca="false">IF(D2=E2,D2,"Not derivable without case counts")</f>
        <v>100</v>
      </c>
      <c r="G2" s="6" t="n">
        <v>90</v>
      </c>
      <c r="H2" s="8" t="n">
        <f aca="false">OSoP_Reported!E2</f>
        <v>90</v>
      </c>
      <c r="I2" s="3" t="str">
        <f aca="false">IF(AND(G2=H2,OSoP_Reported!E2=OSoP_Reported!E3),"OK","FLAG")</f>
        <v>OK</v>
      </c>
      <c r="J2" s="5" t="s">
        <v>121</v>
      </c>
      <c r="K2" s="3" t="str">
        <f aca="false">IF(J2&lt;&gt;"Yes","N/A",IF(D2&gt;=G2,"Yes",IF(E2&lt;G2,"No","Not determinable")))</f>
        <v>Yes</v>
      </c>
      <c r="L2" s="3" t="str">
        <f aca="false">IF(AND(B2&gt;=H2,C2&gt;=H2),"Both areas at or above target","At least one area below target")</f>
        <v>Both areas at or above target</v>
      </c>
      <c r="M2" s="3" t="s">
        <v>122</v>
      </c>
      <c r="N2" s="3" t="str">
        <f aca="false">IF(D2&gt;=G2,"Met under any weighting",IF(E2&lt;G2,"Not met under any weighting","Not determinable without case counts"))</f>
        <v>Met under any weighting</v>
      </c>
    </row>
    <row r="3" customFormat="false" ht="34.5" hidden="false" customHeight="true" outlineLevel="0" collapsed="false">
      <c r="A3" s="3" t="s">
        <v>123</v>
      </c>
      <c r="B3" s="8" t="n">
        <f aca="false">OSoP_Reported!G4</f>
        <v>100</v>
      </c>
      <c r="C3" s="8" t="n">
        <f aca="false">OSoP_Reported!G5</f>
        <v>100</v>
      </c>
      <c r="D3" s="9" t="n">
        <f aca="false">MIN(B3,C3)</f>
        <v>100</v>
      </c>
      <c r="E3" s="9" t="n">
        <f aca="false">MAX(B3,C3)</f>
        <v>100</v>
      </c>
      <c r="F3" s="9" t="n">
        <f aca="false">IF(D3=E3,D3,"Not derivable without case counts")</f>
        <v>100</v>
      </c>
      <c r="G3" s="6" t="n">
        <v>95</v>
      </c>
      <c r="H3" s="8" t="n">
        <f aca="false">OSoP_Reported!E4</f>
        <v>95</v>
      </c>
      <c r="I3" s="3" t="str">
        <f aca="false">IF(AND(G3=H3,OSoP_Reported!E4=OSoP_Reported!E5),"OK","FLAG")</f>
        <v>OK</v>
      </c>
      <c r="J3" s="5" t="s">
        <v>124</v>
      </c>
      <c r="K3" s="3" t="str">
        <f aca="false">IF(J3&lt;&gt;"Yes","N/A",IF(D3&gt;=G3,"Yes",IF(E3&lt;G3,"No","Not determinable")))</f>
        <v>N/A</v>
      </c>
      <c r="L3" s="3" t="str">
        <f aca="false">IF(AND(B3&gt;=H3,C3&gt;=H3),"Both areas at or above target","At least one area below target")</f>
        <v>Both areas at or above target</v>
      </c>
      <c r="M3" s="3" t="s">
        <v>125</v>
      </c>
      <c r="N3" s="3" t="str">
        <f aca="false">IF(D3&gt;=G3,"Met under any weighting",IF(E3&lt;G3,"Not met under any weighting","Not determinable without case counts"))</f>
        <v>Met under any weighting</v>
      </c>
    </row>
    <row r="4" customFormat="false" ht="23.25" hidden="false" customHeight="true" outlineLevel="0" collapsed="false">
      <c r="A4" s="3" t="s">
        <v>126</v>
      </c>
      <c r="B4" s="8" t="n">
        <f aca="false">OSoP_Reported!G6</f>
        <v>96.39</v>
      </c>
      <c r="C4" s="8" t="n">
        <f aca="false">OSoP_Reported!G7</f>
        <v>85.01</v>
      </c>
      <c r="D4" s="9" t="n">
        <f aca="false">MIN(B4,C4)</f>
        <v>85.01</v>
      </c>
      <c r="E4" s="9" t="n">
        <f aca="false">MAX(B4,C4)</f>
        <v>96.39</v>
      </c>
      <c r="F4" s="9" t="str">
        <f aca="false">IF(D4=E4,D4,"Not derivable without case counts")</f>
        <v>Not derivable without case counts</v>
      </c>
      <c r="G4" s="6" t="n">
        <v>95</v>
      </c>
      <c r="H4" s="8" t="n">
        <f aca="false">OSoP_Reported!E6</f>
        <v>95</v>
      </c>
      <c r="I4" s="3" t="str">
        <f aca="false">IF(AND(G4=H4,OSoP_Reported!E6=OSoP_Reported!E7),"OK","FLAG")</f>
        <v>OK</v>
      </c>
      <c r="J4" s="5" t="s">
        <v>124</v>
      </c>
      <c r="K4" s="3" t="str">
        <f aca="false">IF(J4&lt;&gt;"Yes","N/A",IF(D4&gt;=G4,"Yes",IF(E4&lt;G4,"No","Not determinable")))</f>
        <v>N/A</v>
      </c>
      <c r="L4" s="3" t="str">
        <f aca="false">IF(AND(B4&gt;=H4,C4&gt;=H4),"Both areas at or above target","At least one area below target")</f>
        <v>At least one area below target</v>
      </c>
      <c r="M4" s="3" t="s">
        <v>127</v>
      </c>
      <c r="N4" s="3" t="str">
        <f aca="false">IF(D4&gt;=G4,"Met under any weighting",IF(E4&lt;G4,"Not met under any weighting","Not determinable without case counts"))</f>
        <v>Not determinable without case counts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
    <col collapsed="false" customWidth="true" hidden="false" outlineLevel="0" max="4" min="3" style="1" width="12"/>
    <col collapsed="false" customWidth="true" hidden="false" outlineLevel="0" max="6" min="5" style="1" width="13"/>
    <col collapsed="false" customWidth="true" hidden="false" outlineLevel="0" max="7" min="7" style="1" width="12"/>
    <col collapsed="false" customWidth="true" hidden="false" outlineLevel="0" max="8" min="8" style="1" width="60"/>
  </cols>
  <sheetData>
    <row r="1" customFormat="false" ht="45.75" hidden="false" customHeight="true" outlineLevel="0" collapsed="false">
      <c r="A1" s="2" t="s">
        <v>106</v>
      </c>
      <c r="B1" s="2" t="s">
        <v>128</v>
      </c>
      <c r="C1" s="2" t="s">
        <v>112</v>
      </c>
      <c r="D1" s="2" t="s">
        <v>129</v>
      </c>
      <c r="E1" s="2" t="s">
        <v>115</v>
      </c>
      <c r="F1" s="2" t="s">
        <v>130</v>
      </c>
      <c r="G1" s="2" t="s">
        <v>131</v>
      </c>
      <c r="H1" s="2" t="s">
        <v>118</v>
      </c>
    </row>
    <row r="2" customFormat="false" ht="34.5" hidden="false" customHeight="true" outlineLevel="0" collapsed="false">
      <c r="A2" s="3" t="s">
        <v>132</v>
      </c>
      <c r="B2" s="8" t="n">
        <f aca="false">OSoP_Reported!G8</f>
        <v>100</v>
      </c>
      <c r="C2" s="6" t="n">
        <v>90</v>
      </c>
      <c r="D2" s="3" t="s">
        <v>133</v>
      </c>
      <c r="E2" s="5" t="s">
        <v>124</v>
      </c>
      <c r="F2" s="3" t="str">
        <f aca="false">IF(E2&lt;&gt;"Yes","N/A",IF(D2="At least",IF(B2&gt;=C2,"Yes","No"),IF(B2&lt;=C2,"Yes","No")))</f>
        <v>N/A</v>
      </c>
      <c r="G2" s="9" t="n">
        <f aca="false">IF(ISNUMBER(B2),IF(D2="At least",B2-C2,C2-B2),"n/a")</f>
        <v>10</v>
      </c>
      <c r="H2" s="3" t="s">
        <v>134</v>
      </c>
    </row>
    <row r="3" customFormat="false" ht="23.25" hidden="false" customHeight="true" outlineLevel="0" collapsed="false">
      <c r="A3" s="3" t="s">
        <v>135</v>
      </c>
      <c r="B3" s="8" t="str">
        <f aca="false">IF(ISNUMBER(OSoP_Reported!G13),OSoP_Reported!G13,"No value reported")</f>
        <v>No value reported</v>
      </c>
      <c r="C3" s="6" t="n">
        <v>90</v>
      </c>
      <c r="D3" s="3" t="s">
        <v>133</v>
      </c>
      <c r="E3" s="5" t="s">
        <v>124</v>
      </c>
      <c r="F3" s="3" t="str">
        <f aca="false">IF(E3&lt;&gt;"Yes","N/A",IF(D3="At least",IF(B3&gt;=C3,"Yes","No"),IF(B3&lt;=C3,"Yes","No")))</f>
        <v>N/A</v>
      </c>
      <c r="G3" s="9" t="str">
        <f aca="false">IF(ISNUMBER(B3),IF(D3="At least",B3-C3,C3-B3),"n/a")</f>
        <v>n/a</v>
      </c>
      <c r="H3" s="3" t="s">
        <v>136</v>
      </c>
    </row>
    <row r="4" customFormat="false" ht="23.25" hidden="false" customHeight="true" outlineLevel="0" collapsed="false">
      <c r="A4" s="3" t="s">
        <v>137</v>
      </c>
      <c r="B4" s="8" t="n">
        <f aca="false">OSoP_Reported!G14</f>
        <v>0</v>
      </c>
      <c r="C4" s="10" t="n">
        <v>0.1</v>
      </c>
      <c r="D4" s="3" t="s">
        <v>138</v>
      </c>
      <c r="E4" s="5" t="s">
        <v>121</v>
      </c>
      <c r="F4" s="3" t="str">
        <f aca="false">IF(E4&lt;&gt;"Yes","N/A",IF(D4="At least",IF(B4&gt;=C4,"Yes","No"),IF(B4&lt;=C4,"Yes","No")))</f>
        <v>Yes</v>
      </c>
      <c r="G4" s="11" t="n">
        <f aca="false">IF(ISNUMBER(B4),IF(D4="At least",B4-C4,C4-B4),"n/a")</f>
        <v>0.1</v>
      </c>
      <c r="H4" s="3" t="s">
        <v>139</v>
      </c>
    </row>
    <row r="5" customFormat="false" ht="23.25" hidden="false" customHeight="true" outlineLevel="0" collapsed="false">
      <c r="A5" s="3" t="s">
        <v>140</v>
      </c>
      <c r="B5" s="8" t="n">
        <f aca="false">OSoP_Reported!G15</f>
        <v>0.05</v>
      </c>
      <c r="C5" s="10" t="n">
        <v>5</v>
      </c>
      <c r="D5" s="3" t="s">
        <v>138</v>
      </c>
      <c r="E5" s="5" t="s">
        <v>121</v>
      </c>
      <c r="F5" s="3" t="str">
        <f aca="false">IF(E5&lt;&gt;"Yes","N/A",IF(D5="At least",IF(B5&gt;=C5,"Yes","No"),IF(B5&lt;=C5,"Yes","No")))</f>
        <v>Yes</v>
      </c>
      <c r="G5" s="11" t="n">
        <f aca="false">IF(ISNUMBER(B5),IF(D5="At least",B5-C5,C5-B5),"n/a")</f>
        <v>4.95</v>
      </c>
      <c r="H5" s="3" t="s">
        <v>141</v>
      </c>
    </row>
    <row r="7" customFormat="false" ht="35.05" hidden="false" customHeight="false" outlineLevel="0" collapsed="false">
      <c r="A7" s="2" t="s">
        <v>142</v>
      </c>
      <c r="B7" s="2" t="s">
        <v>143</v>
      </c>
      <c r="C7" s="2" t="s">
        <v>144</v>
      </c>
      <c r="D7" s="2" t="s">
        <v>145</v>
      </c>
    </row>
    <row r="8" customFormat="false" ht="15" hidden="false" customHeight="false" outlineLevel="0" collapsed="false">
      <c r="A8" s="4" t="s">
        <v>146</v>
      </c>
      <c r="B8" s="12" t="n">
        <v>1.13</v>
      </c>
      <c r="C8" s="12" t="n">
        <v>5</v>
      </c>
      <c r="D8" s="4" t="str">
        <f aca="false">IF(B8&gt;C8,"Yes","No")</f>
        <v>No</v>
      </c>
    </row>
    <row r="9" customFormat="false" ht="15" hidden="false" customHeight="false" outlineLevel="0" collapsed="false">
      <c r="A9" s="4" t="s">
        <v>147</v>
      </c>
      <c r="B9" s="12" t="n">
        <v>1.2</v>
      </c>
      <c r="C9" s="12" t="n">
        <v>5</v>
      </c>
      <c r="D9" s="4" t="str">
        <f aca="false">IF(B9&gt;C9,"Yes","No")</f>
        <v>No</v>
      </c>
    </row>
    <row r="10" customFormat="false" ht="15" hidden="false" customHeight="false" outlineLevel="0" collapsed="false">
      <c r="A10" s="4" t="s">
        <v>148</v>
      </c>
      <c r="B10" s="12" t="n">
        <v>0.05</v>
      </c>
      <c r="C10" s="12" t="n">
        <v>5</v>
      </c>
      <c r="D10" s="4" t="str">
        <f aca="false">IF(B10&gt;C10,"Yes","No")</f>
        <v>No</v>
      </c>
    </row>
    <row r="11" customFormat="false" ht="15" hidden="false" customHeight="false" outlineLevel="0" collapsed="false">
      <c r="A11" s="4" t="s">
        <v>149</v>
      </c>
      <c r="B11" s="12" t="n">
        <v>0.23</v>
      </c>
      <c r="C11" s="12" t="n">
        <v>5</v>
      </c>
      <c r="D11" s="4" t="str">
        <f aca="false">IF(B11&gt;C11,"Yes","No")</f>
        <v>No</v>
      </c>
    </row>
    <row r="13" customFormat="false" ht="35.05" hidden="false" customHeight="false" outlineLevel="0" collapsed="false">
      <c r="A13" s="2" t="s">
        <v>150</v>
      </c>
      <c r="B13" s="2" t="s">
        <v>143</v>
      </c>
      <c r="C13" s="2" t="s">
        <v>144</v>
      </c>
      <c r="D13" s="2" t="s">
        <v>145</v>
      </c>
    </row>
    <row r="14" customFormat="false" ht="15" hidden="false" customHeight="false" outlineLevel="0" collapsed="false">
      <c r="A14" s="4" t="s">
        <v>146</v>
      </c>
      <c r="B14" s="12" t="n">
        <v>0.02</v>
      </c>
      <c r="C14" s="12" t="n">
        <v>0.1</v>
      </c>
      <c r="D14" s="4" t="str">
        <f aca="false">IF(B14&gt;C14,"Yes","No")</f>
        <v>No</v>
      </c>
    </row>
    <row r="15" customFormat="false" ht="15" hidden="false" customHeight="false" outlineLevel="0" collapsed="false">
      <c r="A15" s="4" t="s">
        <v>147</v>
      </c>
      <c r="B15" s="12" t="n">
        <v>1.66</v>
      </c>
      <c r="C15" s="12" t="n">
        <v>0.1</v>
      </c>
      <c r="D15" s="4" t="str">
        <f aca="false">IF(B15&gt;C15,"Yes","No")</f>
        <v>Yes</v>
      </c>
    </row>
    <row r="16" customFormat="false" ht="15" hidden="false" customHeight="false" outlineLevel="0" collapsed="false">
      <c r="A16" s="4" t="s">
        <v>148</v>
      </c>
      <c r="B16" s="12" t="n">
        <v>0</v>
      </c>
      <c r="C16" s="12" t="n">
        <v>0.1</v>
      </c>
      <c r="D16" s="4" t="str">
        <f aca="false">IF(B16&gt;C16,"Yes","No")</f>
        <v>No</v>
      </c>
    </row>
    <row r="17" customFormat="false" ht="15" hidden="false" customHeight="false" outlineLevel="0" collapsed="false">
      <c r="A17" s="4" t="s">
        <v>149</v>
      </c>
      <c r="B17" s="12" t="n">
        <v>0</v>
      </c>
      <c r="C17" s="12" t="n">
        <v>0.1</v>
      </c>
      <c r="D17" s="4" t="str">
        <f aca="false">IF(B17&gt;C17,"Yes","No")</f>
        <v>No</v>
      </c>
    </row>
    <row r="19" customFormat="false" ht="15" hidden="false" customHeight="false" outlineLevel="0" collapsed="false">
      <c r="A19" s="13" t="s">
        <v>151</v>
      </c>
    </row>
  </sheetData>
  <hyperlinks>
    <hyperlink ref="A19" r:id="rId2" display="Ceilings: S1 Sch. II 1.9 and 1.10 (S1 web cop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4"/>
    <col collapsed="false" customWidth="true" hidden="false" outlineLevel="0" max="3" min="3" style="1" width="30"/>
    <col collapsed="false" customWidth="true" hidden="false" outlineLevel="0" max="4" min="4" style="1" width="44"/>
    <col collapsed="false" customWidth="true" hidden="false" outlineLevel="0" max="5" min="5" style="1" width="22"/>
    <col collapsed="false" customWidth="true" hidden="false" outlineLevel="0" max="6" min="6" style="1" width="50"/>
  </cols>
  <sheetData>
    <row r="1" customFormat="false" ht="23.25" hidden="false" customHeight="true" outlineLevel="0" collapsed="false">
      <c r="A1" s="2" t="s">
        <v>152</v>
      </c>
      <c r="B1" s="2" t="s">
        <v>153</v>
      </c>
      <c r="C1" s="2" t="s">
        <v>154</v>
      </c>
      <c r="D1" s="2" t="s">
        <v>155</v>
      </c>
      <c r="E1" s="2" t="s">
        <v>156</v>
      </c>
      <c r="F1" s="2" t="s">
        <v>157</v>
      </c>
    </row>
    <row r="2" customFormat="false" ht="15" hidden="false" customHeight="true" outlineLevel="0" collapsed="false">
      <c r="A2" s="3" t="s">
        <v>158</v>
      </c>
      <c r="B2" s="14" t="n">
        <f aca="false">OSoP_Reported!G18</f>
        <v>20684</v>
      </c>
      <c r="C2" s="3" t="s">
        <v>159</v>
      </c>
      <c r="D2" s="3" t="s">
        <v>160</v>
      </c>
      <c r="E2" s="3" t="s">
        <v>161</v>
      </c>
      <c r="F2" s="3" t="s">
        <v>162</v>
      </c>
    </row>
    <row r="3" customFormat="false" ht="23.25" hidden="false" customHeight="true" outlineLevel="0" collapsed="false">
      <c r="A3" s="3" t="s">
        <v>163</v>
      </c>
      <c r="B3" s="14" t="n">
        <f aca="false">OSoP_Reported!G16</f>
        <v>424</v>
      </c>
      <c r="C3" s="3" t="s">
        <v>164</v>
      </c>
      <c r="D3" s="3" t="s">
        <v>165</v>
      </c>
      <c r="E3" s="3" t="s">
        <v>166</v>
      </c>
      <c r="F3" s="3" t="s">
        <v>162</v>
      </c>
    </row>
    <row r="4" customFormat="false" ht="23.25" hidden="false" customHeight="true" outlineLevel="0" collapsed="false">
      <c r="A4" s="3" t="s">
        <v>167</v>
      </c>
      <c r="B4" s="14" t="n">
        <f aca="false">OSoP_Reported!G17</f>
        <v>62</v>
      </c>
      <c r="C4" s="3" t="s">
        <v>168</v>
      </c>
      <c r="D4" s="3" t="s">
        <v>169</v>
      </c>
      <c r="E4" s="3" t="s">
        <v>170</v>
      </c>
      <c r="F4" s="3" t="s">
        <v>162</v>
      </c>
    </row>
    <row r="5" customFormat="false" ht="15" hidden="false" customHeight="true" outlineLevel="0" collapsed="false">
      <c r="A5" s="3" t="s">
        <v>171</v>
      </c>
      <c r="B5" s="15" t="n">
        <f aca="false">B2/60</f>
        <v>344.733333333333</v>
      </c>
      <c r="C5" s="3" t="s">
        <v>172</v>
      </c>
      <c r="D5" s="3" t="s">
        <v>173</v>
      </c>
      <c r="E5" s="3" t="s">
        <v>174</v>
      </c>
      <c r="F5" s="3" t="s">
        <v>175</v>
      </c>
    </row>
    <row r="6" customFormat="false" ht="23.25" hidden="false" customHeight="true" outlineLevel="0" collapsed="false">
      <c r="A6" s="3" t="s">
        <v>176</v>
      </c>
      <c r="B6" s="15" t="n">
        <f aca="false">B2/B3</f>
        <v>48.7830188679245</v>
      </c>
      <c r="C6" s="3" t="s">
        <v>177</v>
      </c>
      <c r="D6" s="3" t="s">
        <v>178</v>
      </c>
      <c r="E6" s="3" t="s">
        <v>174</v>
      </c>
      <c r="F6" s="3" t="s">
        <v>179</v>
      </c>
    </row>
    <row r="7" customFormat="false" ht="15" hidden="false" customHeight="true" outlineLevel="0" collapsed="false">
      <c r="A7" s="3" t="s">
        <v>180</v>
      </c>
      <c r="B7" s="15" t="n">
        <f aca="false">B4/B3</f>
        <v>0.14622641509434</v>
      </c>
      <c r="C7" s="3" t="s">
        <v>181</v>
      </c>
      <c r="D7" s="3" t="s">
        <v>178</v>
      </c>
      <c r="E7" s="3" t="s">
        <v>174</v>
      </c>
      <c r="F7" s="3" t="s">
        <v>182</v>
      </c>
    </row>
    <row r="8" customFormat="false" ht="23.85" hidden="false" customHeight="false" outlineLevel="0" collapsed="false">
      <c r="A8" s="4" t="s">
        <v>183</v>
      </c>
      <c r="B8" s="12" t="n">
        <v>377</v>
      </c>
      <c r="C8" s="4" t="s">
        <v>184</v>
      </c>
      <c r="D8" s="13" t="s">
        <v>185</v>
      </c>
      <c r="E8" s="4" t="s">
        <v>174</v>
      </c>
      <c r="F8" s="4" t="str">
        <f aca="false">IF(B8=B3,"Matches S3 SAIFI","DIFFERS from S3 SAIFI by "&amp;TEXT(B8-B3,"0"))</f>
        <v>DIFFERS from S3 SAIFI by -47</v>
      </c>
    </row>
    <row r="9" customFormat="false" ht="23.85" hidden="false" customHeight="false" outlineLevel="0" collapsed="false">
      <c r="A9" s="4" t="s">
        <v>186</v>
      </c>
      <c r="B9" s="12" t="n">
        <v>308</v>
      </c>
      <c r="C9" s="4" t="s">
        <v>187</v>
      </c>
      <c r="D9" s="13" t="s">
        <v>185</v>
      </c>
      <c r="E9" s="4" t="s">
        <v>174</v>
      </c>
      <c r="F9" s="4" t="str">
        <f aca="false">IF(ROUND(B9*60,0)=B2,"Matches S3 SAIDI","DIFFERS: S4 = "&amp;TEXT(B9*60,"#,##0")&amp;" minutes; S3 = "&amp;TEXT(B2,"#,##0")&amp;" minutes")</f>
        <v>DIFFERS: S4 = 18,480 minutes; S3 = 20,684 minutes</v>
      </c>
    </row>
  </sheetData>
  <hyperlinks>
    <hyperlink ref="D8" r:id="rId2" display="OERC record note of the TPWODL performance review (S4)"/>
    <hyperlink ref="D9" r:id="rId3" display="OERC record note of the TPWODL performance review (S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10"/>
    <col collapsed="false" customWidth="true" hidden="false" outlineLevel="0" max="4" min="4" style="1" width="70"/>
  </cols>
  <sheetData>
    <row r="1" customFormat="false" ht="15" hidden="false" customHeight="true" outlineLevel="0" collapsed="false">
      <c r="A1" s="2" t="s">
        <v>188</v>
      </c>
      <c r="B1" s="2" t="s">
        <v>189</v>
      </c>
      <c r="C1" s="2" t="s">
        <v>190</v>
      </c>
      <c r="D1" s="2" t="s">
        <v>157</v>
      </c>
    </row>
    <row r="2" customFormat="false" ht="15" hidden="false" customHeight="true" outlineLevel="0" collapsed="false">
      <c r="A2" s="3" t="s">
        <v>70</v>
      </c>
      <c r="B2" s="3" t="s">
        <v>72</v>
      </c>
      <c r="C2" s="3"/>
      <c r="D2" s="3" t="s">
        <v>191</v>
      </c>
    </row>
    <row r="3" customFormat="false" ht="15" hidden="false" customHeight="true" outlineLevel="0" collapsed="false">
      <c r="A3" s="3" t="s">
        <v>76</v>
      </c>
      <c r="B3" s="3" t="s">
        <v>77</v>
      </c>
      <c r="C3" s="8" t="n">
        <f aca="false">OSoP_Reported!G10</f>
        <v>0.08</v>
      </c>
      <c r="D3" s="3" t="s">
        <v>192</v>
      </c>
    </row>
    <row r="4" customFormat="false" ht="15" hidden="false" customHeight="true" outlineLevel="0" collapsed="false">
      <c r="A4" s="3" t="s">
        <v>80</v>
      </c>
      <c r="B4" s="3" t="s">
        <v>81</v>
      </c>
      <c r="C4" s="16" t="n">
        <f aca="false">OSoP_Reported!G11</f>
        <v>0</v>
      </c>
      <c r="D4" s="3" t="s">
        <v>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10"/>
    <col collapsed="false" customWidth="true" hidden="false" outlineLevel="0" max="4" min="4" style="1" width="12"/>
    <col collapsed="false" customWidth="true" hidden="false" outlineLevel="0" max="5" min="5" style="1" width="10"/>
    <col collapsed="false" customWidth="true" hidden="false" outlineLevel="0" max="6" min="6" style="1" width="14"/>
    <col collapsed="false" customWidth="true" hidden="false" outlineLevel="0" max="7" min="7" style="1" width="60"/>
    <col collapsed="false" customWidth="true" hidden="false" outlineLevel="0" max="8" min="8" style="0" width="22"/>
    <col collapsed="false" customWidth="true" hidden="false" outlineLevel="0" max="9" min="9" style="0" width="18"/>
    <col collapsed="false" customWidth="true" hidden="false" outlineLevel="0" max="10" min="10" style="0" width="12"/>
  </cols>
  <sheetData>
    <row r="1" customFormat="false" ht="34.5" hidden="false" customHeight="true" outlineLevel="0" collapsed="false">
      <c r="A1" s="2" t="s">
        <v>194</v>
      </c>
      <c r="B1" s="2" t="s">
        <v>195</v>
      </c>
      <c r="C1" s="2" t="s">
        <v>196</v>
      </c>
      <c r="D1" s="2" t="s">
        <v>197</v>
      </c>
      <c r="E1" s="2" t="s">
        <v>198</v>
      </c>
      <c r="F1" s="2" t="s">
        <v>199</v>
      </c>
      <c r="G1" s="2" t="s">
        <v>42</v>
      </c>
      <c r="H1" s="2" t="s">
        <v>200</v>
      </c>
      <c r="I1" s="2" t="s">
        <v>201</v>
      </c>
      <c r="J1" s="2" t="s">
        <v>202</v>
      </c>
    </row>
    <row r="2" customFormat="false" ht="23.25" hidden="false" customHeight="true" outlineLevel="0" collapsed="false">
      <c r="A2" s="3" t="s">
        <v>203</v>
      </c>
      <c r="B2" s="5" t="s">
        <v>204</v>
      </c>
      <c r="C2" s="5" t="n">
        <v>46</v>
      </c>
      <c r="D2" s="5" t="s">
        <v>205</v>
      </c>
      <c r="E2" s="5" t="n">
        <v>8</v>
      </c>
      <c r="F2" s="3" t="n">
        <f aca="false">E2-C2</f>
        <v>-38</v>
      </c>
      <c r="G2" s="3" t="s">
        <v>206</v>
      </c>
      <c r="H2" s="12" t="n">
        <v>20</v>
      </c>
      <c r="I2" s="4" t="n">
        <f aca="false">H2-E2</f>
        <v>12</v>
      </c>
      <c r="J2" s="4" t="str">
        <f aca="false">IF(I2=0,"OK","DIFFERS")</f>
        <v>DIFFERS</v>
      </c>
    </row>
    <row r="3" customFormat="false" ht="23.25" hidden="false" customHeight="true" outlineLevel="0" collapsed="false">
      <c r="A3" s="3" t="s">
        <v>207</v>
      </c>
      <c r="B3" s="5" t="s">
        <v>208</v>
      </c>
      <c r="C3" s="5" t="n">
        <v>44</v>
      </c>
      <c r="D3" s="5" t="s">
        <v>209</v>
      </c>
      <c r="E3" s="5" t="n">
        <v>12</v>
      </c>
      <c r="F3" s="3" t="n">
        <f aca="false">E3-C3</f>
        <v>-32</v>
      </c>
      <c r="G3" s="3" t="s">
        <v>206</v>
      </c>
      <c r="H3" s="4" t="s">
        <v>210</v>
      </c>
      <c r="I3" s="4" t="s">
        <v>211</v>
      </c>
      <c r="J3" s="4" t="s">
        <v>211</v>
      </c>
    </row>
    <row r="4" customFormat="false" ht="23.25" hidden="false" customHeight="true" outlineLevel="0" collapsed="false">
      <c r="A4" s="3" t="s">
        <v>212</v>
      </c>
      <c r="B4" s="5" t="s">
        <v>204</v>
      </c>
      <c r="C4" s="5" t="n">
        <v>46</v>
      </c>
      <c r="D4" s="5" t="s">
        <v>213</v>
      </c>
      <c r="E4" s="5" t="n">
        <v>28</v>
      </c>
      <c r="F4" s="3" t="n">
        <f aca="false">E4-C4</f>
        <v>-18</v>
      </c>
      <c r="G4" s="3" t="s">
        <v>206</v>
      </c>
      <c r="H4" s="12" t="n">
        <v>33</v>
      </c>
      <c r="I4" s="4" t="n">
        <f aca="false">H4-E4</f>
        <v>5</v>
      </c>
      <c r="J4" s="4" t="str">
        <f aca="false">IF(I4=0,"OK","DIFFERS")</f>
        <v>DIFFERS</v>
      </c>
    </row>
    <row r="5" customFormat="false" ht="23.25" hidden="false" customHeight="true" outlineLevel="0" collapsed="false">
      <c r="A5" s="3" t="s">
        <v>214</v>
      </c>
      <c r="B5" s="5" t="s">
        <v>215</v>
      </c>
      <c r="C5" s="5" t="n">
        <v>0</v>
      </c>
      <c r="D5" s="5" t="s">
        <v>215</v>
      </c>
      <c r="E5" s="5" t="n">
        <v>0</v>
      </c>
      <c r="F5" s="3" t="n">
        <f aca="false">E5-C5</f>
        <v>0</v>
      </c>
      <c r="G5" s="3" t="s">
        <v>206</v>
      </c>
      <c r="H5" s="4" t="s">
        <v>210</v>
      </c>
      <c r="I5" s="4" t="s">
        <v>211</v>
      </c>
      <c r="J5" s="4" t="s">
        <v>211</v>
      </c>
    </row>
    <row r="6" customFormat="false" ht="15" hidden="false" customHeight="true" outlineLevel="0" collapsed="false">
      <c r="A6" s="3" t="s">
        <v>216</v>
      </c>
      <c r="B6" s="3"/>
      <c r="C6" s="3" t="n">
        <f aca="false">SUM(C2:C5)</f>
        <v>136</v>
      </c>
      <c r="D6" s="3"/>
      <c r="E6" s="3" t="n">
        <f aca="false">SUM(E2:E5)</f>
        <v>48</v>
      </c>
      <c r="F6" s="3" t="n">
        <f aca="false">E6-C6</f>
        <v>-88</v>
      </c>
      <c r="G6" s="3" t="s">
        <v>217</v>
      </c>
      <c r="H6" s="13" t="s">
        <v>218</v>
      </c>
    </row>
  </sheetData>
  <hyperlinks>
    <hyperlink ref="H6" r:id="rId2" display="Source: record note (S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0"/>
    <col collapsed="false" customWidth="true" hidden="false" outlineLevel="0" max="2" min="2" style="1" width="16"/>
    <col collapsed="false" customWidth="true" hidden="false" outlineLevel="0" max="3" min="3" style="1" width="10"/>
    <col collapsed="false" customWidth="true" hidden="false" outlineLevel="0" max="4" min="4" style="1" width="60"/>
  </cols>
  <sheetData>
    <row r="1" customFormat="false" ht="23.25" hidden="false" customHeight="true" outlineLevel="0" collapsed="false">
      <c r="A1" s="2" t="s">
        <v>219</v>
      </c>
      <c r="B1" s="2" t="s">
        <v>220</v>
      </c>
      <c r="C1" s="2" t="s">
        <v>221</v>
      </c>
      <c r="D1" s="2" t="s">
        <v>222</v>
      </c>
    </row>
    <row r="2" customFormat="false" ht="15" hidden="false" customHeight="true" outlineLevel="0" collapsed="false">
      <c r="A2" s="3" t="s">
        <v>223</v>
      </c>
      <c r="B2" s="8" t="n">
        <f aca="false">Restoration_Shares!F2</f>
        <v>100</v>
      </c>
      <c r="C2" s="3" t="s">
        <v>224</v>
      </c>
      <c r="D2" s="3" t="str">
        <f aca="false">"FY within-standard share: "&amp;TEXT(B2/100,"0.0%")&amp;"."</f>
        <v>FY within-standard share: 100.0%.</v>
      </c>
    </row>
    <row r="3" customFormat="false" ht="23.25" hidden="false" customHeight="true" outlineLevel="0" collapsed="false">
      <c r="A3" s="3" t="s">
        <v>225</v>
      </c>
      <c r="B3" s="8" t="n">
        <f aca="false">Restoration_Shares!F3</f>
        <v>100</v>
      </c>
      <c r="C3" s="3" t="s">
        <v>224</v>
      </c>
      <c r="D3" s="3" t="str">
        <f aca="false">"FY within-standard share (time measured from receipt of complaint): "&amp;TEXT(B3/100,"0.0%")&amp;"."</f>
        <v>FY within-standard share (time measured from receipt of complaint): 100.0%.</v>
      </c>
    </row>
    <row r="4" customFormat="false" ht="23.25" hidden="false" customHeight="true" outlineLevel="0" collapsed="false">
      <c r="A4" s="3" t="s">
        <v>226</v>
      </c>
      <c r="B4" s="3" t="s">
        <v>211</v>
      </c>
      <c r="C4" s="3" t="s">
        <v>211</v>
      </c>
      <c r="D4" s="3" t="s">
        <v>227</v>
      </c>
    </row>
    <row r="5" customFormat="false" ht="15" hidden="false" customHeight="true" outlineLevel="0" collapsed="false">
      <c r="A5" s="3" t="s">
        <v>228</v>
      </c>
      <c r="B5" s="8" t="n">
        <f aca="false">Threshold_Tests!B2</f>
        <v>100</v>
      </c>
      <c r="C5" s="3" t="s">
        <v>224</v>
      </c>
      <c r="D5" s="3" t="str">
        <f aca="false">"FY within-standard share: "&amp;TEXT(B5/100,"0.0%")&amp;"."</f>
        <v>FY within-standard share: 100.0%.</v>
      </c>
    </row>
    <row r="6" customFormat="false" ht="15" hidden="false" customHeight="true" outlineLevel="0" collapsed="false">
      <c r="A6" s="3" t="s">
        <v>229</v>
      </c>
      <c r="B6" s="3" t="s">
        <v>211</v>
      </c>
      <c r="C6" s="3" t="s">
        <v>211</v>
      </c>
      <c r="D6" s="3" t="s">
        <v>230</v>
      </c>
    </row>
    <row r="7" customFormat="false" ht="15" hidden="false" customHeight="true" outlineLevel="0" collapsed="false">
      <c r="A7" s="3" t="s">
        <v>231</v>
      </c>
      <c r="B7" s="8" t="n">
        <f aca="false">Threshold_Tests!B4</f>
        <v>0</v>
      </c>
      <c r="C7" s="3" t="s">
        <v>90</v>
      </c>
      <c r="D7" s="3" t="str">
        <f aca="false">"FY faulty-bill share: "&amp;TEXT(B7/100,"0.00%")&amp;"."</f>
        <v>FY faulty-bill share: 0.00%.</v>
      </c>
    </row>
    <row r="8" customFormat="false" ht="15" hidden="false" customHeight="true" outlineLevel="0" collapsed="false">
      <c r="A8" s="3" t="s">
        <v>232</v>
      </c>
      <c r="B8" s="8" t="n">
        <f aca="false">Threshold_Tests!B5</f>
        <v>0.05</v>
      </c>
      <c r="C8" s="3" t="s">
        <v>90</v>
      </c>
      <c r="D8" s="3" t="str">
        <f aca="false">"FY defective-meter share: "&amp;TEXT(B8/100,"0.00%")&amp;"."</f>
        <v>FY defective-meter share: 0.05%.</v>
      </c>
    </row>
    <row r="9" customFormat="false" ht="15" hidden="false" customHeight="true" outlineLevel="0" collapsed="false">
      <c r="A9" s="3" t="s">
        <v>233</v>
      </c>
      <c r="B9" s="14" t="n">
        <f aca="false">Reliability!B2</f>
        <v>20684</v>
      </c>
      <c r="C9" s="3" t="s">
        <v>234</v>
      </c>
      <c r="D9" s="3" t="str">
        <f aca="false">"FY SAIDI: "&amp;TEXT(B9,"#,##0")&amp;" minutes per kW of connected load."</f>
        <v>FY SAIDI: 20,684 minutes per kW of connected load.</v>
      </c>
    </row>
    <row r="10" customFormat="false" ht="15" hidden="false" customHeight="true" outlineLevel="0" collapsed="false">
      <c r="A10" s="3" t="s">
        <v>235</v>
      </c>
      <c r="B10" s="14" t="n">
        <f aca="false">Reliability!B3</f>
        <v>424</v>
      </c>
      <c r="C10" s="3" t="s">
        <v>234</v>
      </c>
      <c r="D10" s="3" t="str">
        <f aca="false">"FY SAIFI: "&amp;TEXT(B10,"#,##0")&amp;" interruptions per kW of connected load."</f>
        <v>FY SAIFI: 424 interruptions per kW of connected load.</v>
      </c>
    </row>
    <row r="11" customFormat="false" ht="15" hidden="false" customHeight="true" outlineLevel="0" collapsed="false">
      <c r="A11" s="3" t="s">
        <v>236</v>
      </c>
      <c r="B11" s="14" t="n">
        <f aca="false">Reliability!B4</f>
        <v>62</v>
      </c>
      <c r="C11" s="3" t="s">
        <v>234</v>
      </c>
      <c r="D11" s="3" t="str">
        <f aca="false">"FY MAIFI: "&amp;TEXT(B11,"#,##0")&amp;" momentary interruptions per kW of connected load."</f>
        <v>FY MAIFI: 62 momentary interruptions per kW of connected load.</v>
      </c>
    </row>
    <row r="12" customFormat="false" ht="15" hidden="false" customHeight="true" outlineLevel="0" collapsed="false">
      <c r="A12" s="3" t="s">
        <v>237</v>
      </c>
      <c r="B12" s="3" t="s">
        <v>211</v>
      </c>
      <c r="C12" s="3" t="s">
        <v>211</v>
      </c>
      <c r="D12" s="3" t="s">
        <v>230</v>
      </c>
    </row>
    <row r="13" customFormat="false" ht="15" hidden="false" customHeight="true" outlineLevel="0" collapsed="false">
      <c r="A13" s="3" t="s">
        <v>238</v>
      </c>
      <c r="B13" s="8" t="n">
        <f aca="false">Voltage_Cases!C3</f>
        <v>0.08</v>
      </c>
      <c r="C13" s="3" t="s">
        <v>239</v>
      </c>
      <c r="D13" s="3" t="str">
        <f aca="false">"FY HT value: "&amp;TEXT(B13,"0.00")&amp;"; LT value: "&amp;TEXT(Voltage_Cases!C4,"0")&amp;" (unit not established)."</f>
        <v>FY HT value: 0.08; LT value: 0 (unit not established).</v>
      </c>
    </row>
    <row r="14" customFormat="false" ht="15" hidden="false" customHeight="true" outlineLevel="0" collapsed="false">
      <c r="A14" s="3" t="s">
        <v>240</v>
      </c>
      <c r="B14" s="17" t="n">
        <f aca="false">Accidents!E2</f>
        <v>8</v>
      </c>
      <c r="C14" s="3" t="s">
        <v>81</v>
      </c>
      <c r="D14" s="3" t="str">
        <f aca="false">"FY fatal human accidents: "&amp;B14&amp;"."</f>
        <v>FY fatal human accidents: 8.</v>
      </c>
    </row>
    <row r="15" customFormat="false" ht="15" hidden="false" customHeight="true" outlineLevel="0" collapsed="false">
      <c r="A15" s="3" t="s">
        <v>241</v>
      </c>
      <c r="B15" s="17" t="n">
        <f aca="false">Accidents!E3</f>
        <v>12</v>
      </c>
      <c r="C15" s="3" t="s">
        <v>81</v>
      </c>
      <c r="D15" s="3" t="str">
        <f aca="false">"FY non-fatal human accidents: "&amp;B15&amp;"."</f>
        <v>FY non-fatal human accidents: 12.</v>
      </c>
    </row>
    <row r="16" customFormat="false" ht="15" hidden="false" customHeight="true" outlineLevel="0" collapsed="false">
      <c r="A16" s="3" t="s">
        <v>242</v>
      </c>
      <c r="B16" s="17" t="n">
        <f aca="false">Accidents!E4</f>
        <v>28</v>
      </c>
      <c r="C16" s="3" t="s">
        <v>81</v>
      </c>
      <c r="D16" s="3" t="str">
        <f aca="false">"FY fatal animal accidents: "&amp;B16&amp;"."</f>
        <v>FY fatal animal accidents: 28.</v>
      </c>
    </row>
    <row r="17" customFormat="false" ht="15" hidden="false" customHeight="true" outlineLevel="0" collapsed="false">
      <c r="A17" s="3" t="s">
        <v>243</v>
      </c>
      <c r="B17" s="17" t="n">
        <f aca="false">Accidents!E5</f>
        <v>0</v>
      </c>
      <c r="C17" s="3" t="s">
        <v>81</v>
      </c>
      <c r="D17" s="3" t="str">
        <f aca="false">"FY non-fatal animal accidents: "&amp;B17&amp;"."</f>
        <v>FY non-fatal animal accidents: 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3" min="2" style="1" width="18"/>
    <col collapsed="false" customWidth="true" hidden="false" outlineLevel="0" max="4" min="4" style="1" width="12"/>
    <col collapsed="false" customWidth="true" hidden="false" outlineLevel="0" max="5" min="5" style="1" width="9"/>
    <col collapsed="false" customWidth="true" hidden="false" outlineLevel="0" max="7" min="6" style="1" width="40"/>
  </cols>
  <sheetData>
    <row r="1" customFormat="false" ht="34.5" hidden="false" customHeight="true" outlineLevel="0" collapsed="false">
      <c r="A1" s="2" t="s">
        <v>0</v>
      </c>
      <c r="B1" s="2" t="s">
        <v>244</v>
      </c>
      <c r="C1" s="2" t="s">
        <v>245</v>
      </c>
      <c r="D1" s="2" t="s">
        <v>246</v>
      </c>
      <c r="E1" s="2" t="s">
        <v>202</v>
      </c>
      <c r="F1" s="2" t="s">
        <v>247</v>
      </c>
      <c r="G1" s="2" t="s">
        <v>248</v>
      </c>
    </row>
    <row r="2" customFormat="false" ht="23.25" hidden="false" customHeight="true" outlineLevel="0" collapsed="false">
      <c r="A2" s="3" t="s">
        <v>249</v>
      </c>
      <c r="B2" s="5" t="n">
        <v>46</v>
      </c>
      <c r="C2" s="17" t="n">
        <f aca="false">Accidents!C2</f>
        <v>46</v>
      </c>
      <c r="D2" s="3" t="n">
        <f aca="false">C2-B2</f>
        <v>0</v>
      </c>
      <c r="E2" s="3" t="str">
        <f aca="false">IF(D2=0,"OK","FLAG")</f>
        <v>OK</v>
      </c>
      <c r="F2" s="3" t="s">
        <v>250</v>
      </c>
      <c r="G2" s="3" t="s">
        <v>49</v>
      </c>
    </row>
    <row r="3" customFormat="false" ht="23.25" hidden="false" customHeight="true" outlineLevel="0" collapsed="false">
      <c r="A3" s="3" t="s">
        <v>251</v>
      </c>
      <c r="B3" s="5" t="n">
        <v>44</v>
      </c>
      <c r="C3" s="17" t="n">
        <f aca="false">Accidents!C3</f>
        <v>44</v>
      </c>
      <c r="D3" s="3" t="n">
        <f aca="false">C3-B3</f>
        <v>0</v>
      </c>
      <c r="E3" s="3" t="str">
        <f aca="false">IF(D3=0,"OK","FLAG")</f>
        <v>OK</v>
      </c>
      <c r="F3" s="3" t="s">
        <v>250</v>
      </c>
      <c r="G3" s="3" t="s">
        <v>49</v>
      </c>
    </row>
    <row r="4" customFormat="false" ht="23.25" hidden="false" customHeight="true" outlineLevel="0" collapsed="false">
      <c r="A4" s="3" t="s">
        <v>252</v>
      </c>
      <c r="B4" s="5" t="n">
        <v>46</v>
      </c>
      <c r="C4" s="17" t="n">
        <f aca="false">Accidents!C4</f>
        <v>46</v>
      </c>
      <c r="D4" s="3" t="n">
        <f aca="false">C4-B4</f>
        <v>0</v>
      </c>
      <c r="E4" s="3" t="str">
        <f aca="false">IF(D4=0,"OK","FLAG")</f>
        <v>OK</v>
      </c>
      <c r="F4" s="3" t="s">
        <v>250</v>
      </c>
      <c r="G4" s="3" t="s">
        <v>49</v>
      </c>
    </row>
    <row r="5" customFormat="false" ht="23.25" hidden="false" customHeight="true" outlineLevel="0" collapsed="false">
      <c r="A5" s="3" t="s">
        <v>253</v>
      </c>
      <c r="B5" s="5" t="n">
        <v>0</v>
      </c>
      <c r="C5" s="17" t="n">
        <f aca="false">Accidents!C5</f>
        <v>0</v>
      </c>
      <c r="D5" s="3" t="n">
        <f aca="false">C5-B5</f>
        <v>0</v>
      </c>
      <c r="E5" s="3" t="str">
        <f aca="false">IF(D5=0,"OK","FLAG")</f>
        <v>OK</v>
      </c>
      <c r="F5" s="3" t="s">
        <v>250</v>
      </c>
      <c r="G5" s="3"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00"/>
  </cols>
  <sheetData>
    <row r="1" customFormat="false" ht="15" hidden="false" customHeight="true" outlineLevel="0" collapsed="false">
      <c r="A1" s="2" t="s">
        <v>254</v>
      </c>
      <c r="B1" s="2" t="s">
        <v>255</v>
      </c>
      <c r="C1" s="2" t="s">
        <v>256</v>
      </c>
    </row>
    <row r="2" customFormat="false" ht="23.25" hidden="false" customHeight="true" outlineLevel="0" collapsed="false">
      <c r="A2" s="3" t="s">
        <v>257</v>
      </c>
      <c r="B2" s="3" t="s">
        <v>258</v>
      </c>
      <c r="C2" s="3" t="s">
        <v>259</v>
      </c>
    </row>
    <row r="3" customFormat="false" ht="157.5" hidden="false" customHeight="true" outlineLevel="0" collapsed="false">
      <c r="A3" s="3" t="s">
        <v>260</v>
      </c>
      <c r="B3" s="3" t="s">
        <v>261</v>
      </c>
      <c r="C3" s="3" t="s">
        <v>262</v>
      </c>
    </row>
    <row r="4" customFormat="false" ht="15" hidden="false" customHeight="true" outlineLevel="0" collapsed="false">
      <c r="A4" s="3" t="s">
        <v>263</v>
      </c>
      <c r="B4" s="3" t="s">
        <v>258</v>
      </c>
      <c r="C4" s="3" t="s">
        <v>264</v>
      </c>
    </row>
    <row r="5" customFormat="false" ht="34.5" hidden="false" customHeight="true" outlineLevel="0" collapsed="false">
      <c r="A5" s="3" t="s">
        <v>265</v>
      </c>
      <c r="B5" s="3" t="s">
        <v>261</v>
      </c>
      <c r="C5" s="3" t="s">
        <v>266</v>
      </c>
    </row>
    <row r="6" customFormat="false" ht="23.25" hidden="false" customHeight="true" outlineLevel="0" collapsed="false">
      <c r="A6" s="3" t="s">
        <v>267</v>
      </c>
      <c r="B6" s="3" t="s">
        <v>258</v>
      </c>
      <c r="C6" s="3" t="s">
        <v>268</v>
      </c>
    </row>
    <row r="7" customFormat="false" ht="23.25" hidden="false" customHeight="true" outlineLevel="0" collapsed="false">
      <c r="A7" s="3" t="s">
        <v>269</v>
      </c>
      <c r="B7" s="3" t="s">
        <v>258</v>
      </c>
      <c r="C7" s="3" t="s">
        <v>270</v>
      </c>
    </row>
    <row r="8" customFormat="false" ht="23.25" hidden="false" customHeight="true" outlineLevel="0" collapsed="false">
      <c r="A8" s="3" t="s">
        <v>271</v>
      </c>
      <c r="B8" s="3" t="s">
        <v>258</v>
      </c>
      <c r="C8" s="3" t="s">
        <v>272</v>
      </c>
    </row>
    <row r="9" customFormat="false" ht="23.85" hidden="false" customHeight="false" outlineLevel="0" collapsed="false">
      <c r="A9" s="4" t="s">
        <v>273</v>
      </c>
      <c r="B9" s="4" t="s">
        <v>258</v>
      </c>
      <c r="C9" s="4" t="s">
        <v>274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00"/>
  </cols>
  <sheetData>
    <row r="1" customFormat="false" ht="15" hidden="false" customHeight="true" outlineLevel="0" collapsed="false">
      <c r="A1" s="2" t="s">
        <v>254</v>
      </c>
      <c r="B1" s="2" t="s">
        <v>255</v>
      </c>
      <c r="C1" s="2" t="s">
        <v>275</v>
      </c>
    </row>
    <row r="2" customFormat="false" ht="34.5" hidden="false" customHeight="true" outlineLevel="0" collapsed="false">
      <c r="A2" s="3" t="s">
        <v>276</v>
      </c>
      <c r="B2" s="3" t="s">
        <v>258</v>
      </c>
      <c r="C2" s="3" t="s">
        <v>277</v>
      </c>
    </row>
    <row r="3" customFormat="false" ht="15" hidden="false" customHeight="true" outlineLevel="0" collapsed="false">
      <c r="A3" s="3" t="s">
        <v>278</v>
      </c>
      <c r="B3" s="3" t="s">
        <v>258</v>
      </c>
      <c r="C3" s="3" t="s">
        <v>279</v>
      </c>
    </row>
    <row r="4" customFormat="false" ht="15" hidden="false" customHeight="true" outlineLevel="0" collapsed="false">
      <c r="A4" s="3" t="s">
        <v>280</v>
      </c>
      <c r="B4" s="3" t="s">
        <v>258</v>
      </c>
      <c r="C4" s="3" t="s">
        <v>281</v>
      </c>
    </row>
    <row r="5" customFormat="false" ht="23.25" hidden="false" customHeight="true" outlineLevel="0" collapsed="false">
      <c r="A5" s="3" t="s">
        <v>282</v>
      </c>
      <c r="B5" s="3" t="s">
        <v>283</v>
      </c>
      <c r="C5" s="3" t="s">
        <v>284</v>
      </c>
    </row>
    <row r="6" customFormat="false" ht="23.25" hidden="false" customHeight="true" outlineLevel="0" collapsed="false">
      <c r="A6" s="3" t="s">
        <v>285</v>
      </c>
      <c r="B6" s="3" t="s">
        <v>258</v>
      </c>
      <c r="C6" s="3" t="s">
        <v>286</v>
      </c>
    </row>
    <row r="7" customFormat="false" ht="23.25" hidden="false" customHeight="true" outlineLevel="0" collapsed="false">
      <c r="A7" s="3" t="s">
        <v>287</v>
      </c>
      <c r="B7" s="3" t="s">
        <v>288</v>
      </c>
      <c r="C7" s="3" t="s">
        <v>289</v>
      </c>
    </row>
    <row r="8" customFormat="false" ht="23.25" hidden="false" customHeight="true" outlineLevel="0" collapsed="false">
      <c r="A8" s="3" t="s">
        <v>290</v>
      </c>
      <c r="B8" s="3" t="s">
        <v>258</v>
      </c>
      <c r="C8" s="3" t="s">
        <v>291</v>
      </c>
    </row>
    <row r="9" customFormat="false" ht="23.25" hidden="false" customHeight="true" outlineLevel="0" collapsed="false">
      <c r="A9" s="3" t="s">
        <v>292</v>
      </c>
      <c r="B9" s="3" t="s">
        <v>258</v>
      </c>
      <c r="C9" s="3" t="s">
        <v>293</v>
      </c>
    </row>
    <row r="10" customFormat="false" ht="15" hidden="false" customHeight="true" outlineLevel="0" collapsed="false">
      <c r="A10" s="3" t="s">
        <v>294</v>
      </c>
      <c r="B10" s="3" t="s">
        <v>258</v>
      </c>
      <c r="C10" s="3" t="s">
        <v>295</v>
      </c>
    </row>
    <row r="11" customFormat="false" ht="15" hidden="false" customHeight="true" outlineLevel="0" collapsed="false">
      <c r="A11" s="3" t="s">
        <v>296</v>
      </c>
      <c r="B11" s="3" t="s">
        <v>258</v>
      </c>
      <c r="C11" s="3" t="s">
        <v>297</v>
      </c>
    </row>
    <row r="12" customFormat="false" ht="15" hidden="false" customHeight="true" outlineLevel="0" collapsed="false">
      <c r="A12" s="3" t="s">
        <v>298</v>
      </c>
      <c r="B12" s="3" t="s">
        <v>258</v>
      </c>
      <c r="C12" s="3" t="s">
        <v>299</v>
      </c>
    </row>
    <row r="13" customFormat="false" ht="23.25" hidden="false" customHeight="true" outlineLevel="0" collapsed="false">
      <c r="A13" s="3" t="s">
        <v>300</v>
      </c>
      <c r="B13" s="3" t="s">
        <v>258</v>
      </c>
      <c r="C13" s="3" t="s">
        <v>301</v>
      </c>
    </row>
    <row r="14" customFormat="false" ht="15" hidden="false" customHeight="true" outlineLevel="0" collapsed="false">
      <c r="A14" s="3" t="s">
        <v>302</v>
      </c>
      <c r="B14" s="3" t="s">
        <v>258</v>
      </c>
      <c r="C14" s="3" t="s">
        <v>303</v>
      </c>
    </row>
    <row r="15" customFormat="false" ht="23.25" hidden="false" customHeight="true" outlineLevel="0" collapsed="false">
      <c r="A15" s="3" t="s">
        <v>304</v>
      </c>
      <c r="B15" s="3" t="s">
        <v>305</v>
      </c>
      <c r="C15" s="3" t="s">
        <v>306</v>
      </c>
    </row>
    <row r="16" customFormat="false" ht="23.85" hidden="false" customHeight="false" outlineLevel="0" collapsed="false">
      <c r="A16" s="4" t="s">
        <v>307</v>
      </c>
      <c r="B16" s="4" t="s">
        <v>308</v>
      </c>
      <c r="C16" s="4" t="s">
        <v>309</v>
      </c>
    </row>
    <row r="17" customFormat="false" ht="15" hidden="false" customHeight="false" outlineLevel="0" collapsed="false">
      <c r="A17" s="4" t="s">
        <v>310</v>
      </c>
      <c r="B17" s="4" t="s">
        <v>258</v>
      </c>
      <c r="C17" s="4" t="s">
        <v>311</v>
      </c>
    </row>
    <row r="18" customFormat="false" ht="23.85" hidden="false" customHeight="false" outlineLevel="0" collapsed="false">
      <c r="A18" s="4" t="s">
        <v>312</v>
      </c>
      <c r="B18" s="4" t="s">
        <v>308</v>
      </c>
      <c r="C18" s="4" t="s">
        <v>313</v>
      </c>
    </row>
    <row r="19" customFormat="false" ht="23.85" hidden="false" customHeight="false" outlineLevel="0" collapsed="false">
      <c r="A19" s="4" t="s">
        <v>314</v>
      </c>
      <c r="B19" s="4" t="s">
        <v>315</v>
      </c>
      <c r="C19" s="4" t="s">
        <v>316</v>
      </c>
    </row>
    <row r="20" customFormat="false" ht="15" hidden="false" customHeight="false" outlineLevel="0" collapsed="false">
      <c r="A20" s="4" t="s">
        <v>317</v>
      </c>
      <c r="B20" s="4" t="s">
        <v>258</v>
      </c>
      <c r="C20" s="4" t="s">
        <v>318</v>
      </c>
    </row>
    <row r="21" customFormat="false" ht="23.85" hidden="false" customHeight="false" outlineLevel="0" collapsed="false">
      <c r="A21" s="4" t="s">
        <v>319</v>
      </c>
      <c r="B21" s="4" t="s">
        <v>320</v>
      </c>
      <c r="C21" s="4" t="s">
        <v>321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2026-10-14T07:58:55Z</dcterms:created>
  <dc:creator>openpyxl</dc:creator>
  <dc:description/>
  <dc:language>en-US</dc:language>
  <cp:lastModifiedBy/>
  <dcterms:modified xsi:type="dcterms:W3CDTF">2026-10-19T06:11:53Z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