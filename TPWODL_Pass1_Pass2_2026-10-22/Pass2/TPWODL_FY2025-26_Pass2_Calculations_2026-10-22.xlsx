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comments5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" sheetId="1" state="visible" r:id="rId3"/>
    <sheet name="OSoP_Reported" sheetId="2" state="visible" r:id="rId4"/>
    <sheet name="Restoration_Shares" sheetId="3" state="visible" r:id="rId5"/>
    <sheet name="Threshold_Tests" sheetId="4" state="visible" r:id="rId6"/>
    <sheet name="Reliability" sheetId="5" state="visible" r:id="rId7"/>
    <sheet name="Voltage_Cases" sheetId="6" state="visible" r:id="rId8"/>
    <sheet name="Accidents" sheetId="7" state="visible" r:id="rId9"/>
    <sheet name="Dashboard_Transfer" sheetId="8" state="visible" r:id="rId10"/>
    <sheet name="Interyear_Continuity" sheetId="9" state="visible" r:id="rId11"/>
    <sheet name="PriorFY_Row_Check" sheetId="10" state="visible" r:id="rId12"/>
    <sheet name="QC_Gat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Row added with the further review.</t>
        </r>
      </text>
    </comment>
    <comment ref="A11" authorId="0">
      <text>
        <r>
          <rPr>
            <sz val="10"/>
            <rFont val="Arial"/>
            <family val="2"/>
          </rPr>
          <t xml:space="preserve">Row added with the further review.</t>
        </r>
      </text>
    </comment>
    <comment ref="A12" authorId="0">
      <text>
        <r>
          <rPr>
            <sz val="10"/>
            <rFont val="Arial"/>
            <family val="2"/>
          </rPr>
          <t xml:space="preserve">Row added with the further review.</t>
        </r>
      </text>
    </comment>
    <comment ref="A13" authorId="0">
      <text>
        <r>
          <rPr>
            <sz val="10"/>
            <rFont val="Arial"/>
            <family val="2"/>
          </rPr>
          <t xml:space="preserve">Row added with the further review.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Row added: cross-check against the Commission's TPWODL review record note (S4).</t>
        </r>
      </text>
    </comment>
    <comment ref="A9" authorId="0">
      <text>
        <r>
          <rPr>
            <sz val="10"/>
            <rFont val="Arial"/>
            <family val="2"/>
          </rPr>
          <t xml:space="preserve">Row added: cross-check against the Commission's TPWODL review record note (S4).</t>
        </r>
      </text>
    </comment>
    <comment ref="D8" authorId="0">
      <text>
        <r>
          <rPr>
            <sz val="10"/>
            <rFont val="Arial"/>
            <family val="2"/>
          </rPr>
          <t xml:space="preserve">Cross-check information only. Not entered as a reported value because the per-kW basis is not stated and the Commission records a reliability caveat.</t>
        </r>
      </text>
    </comment>
    <comment ref="D9" authorId="0">
      <text>
        <r>
          <rPr>
            <sz val="10"/>
            <rFont val="Arial"/>
            <family val="2"/>
          </rPr>
          <t xml:space="preserve">Cross-check information only. Not entered as a reported value because the per-kW basis is not stated and the Commission records a reliability caveat.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Cross-check row added with the further review.</t>
        </r>
      </text>
    </comment>
    <comment ref="A9" authorId="0">
      <text>
        <r>
          <rPr>
            <sz val="10"/>
            <rFont val="Arial"/>
            <family val="2"/>
          </rPr>
          <t xml:space="preserve">Cross-check row added with the further review.</t>
        </r>
      </text>
    </comment>
    <comment ref="A10" authorId="0">
      <text>
        <r>
          <rPr>
            <sz val="10"/>
            <rFont val="Arial"/>
            <family val="2"/>
          </rPr>
          <t xml:space="preserve">Cross-check row added with the further review.</t>
        </r>
      </text>
    </comment>
    <comment ref="H2" authorId="0">
      <text>
        <r>
          <rPr>
            <sz val="10"/>
            <rFont val="Arial"/>
            <family val="2"/>
          </rPr>
          <t xml:space="preserve">Cross-check added: the record note (S4) states 31 human accidents (24 with loss of life, 5 involving TPWODL personnel) and 14 animal accidents. Not entered as reported data; see Review_Items.</t>
        </r>
      </text>
    </comment>
    <comment ref="H3" authorId="0">
      <text>
        <r>
          <rPr>
            <sz val="10"/>
            <rFont val="Arial"/>
            <family val="2"/>
          </rPr>
          <t xml:space="preserve">Cross-check row added with the further review.</t>
        </r>
      </text>
    </comment>
    <comment ref="H4" authorId="0">
      <text>
        <r>
          <rPr>
            <sz val="10"/>
            <rFont val="Arial"/>
            <family val="2"/>
          </rPr>
          <t xml:space="preserve">Cross-check row added with the further review.</t>
        </r>
      </text>
    </comment>
    <comment ref="H5" authorId="0">
      <text>
        <r>
          <rPr>
            <sz val="10"/>
            <rFont val="Arial"/>
            <family val="2"/>
          </rPr>
          <t xml:space="preserve">Cross-check row added with the further review.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Row added with the further review.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4" authorId="0">
      <text>
        <r>
          <rPr>
            <sz val="10"/>
            <rFont val="Arial"/>
            <family val="2"/>
          </rPr>
          <t xml:space="preserve">Check added with the further review.</t>
        </r>
      </text>
    </comment>
    <comment ref="A15" authorId="0">
      <text>
        <r>
          <rPr>
            <sz val="10"/>
            <rFont val="Arial"/>
            <family val="2"/>
          </rPr>
          <t xml:space="preserve">Check added with the further review.</t>
        </r>
      </text>
    </comment>
    <comment ref="A16" authorId="0">
      <text>
        <r>
          <rPr>
            <sz val="10"/>
            <rFont val="Arial"/>
            <family val="2"/>
          </rPr>
          <t xml:space="preserve">Check added with the further review.</t>
        </r>
      </text>
    </comment>
    <comment ref="A17" authorId="0">
      <text>
        <r>
          <rPr>
            <sz val="10"/>
            <rFont val="Arial"/>
            <family val="2"/>
          </rPr>
          <t xml:space="preserve">Check added with the further review.</t>
        </r>
      </text>
    </comment>
    <comment ref="A18" authorId="0">
      <text>
        <r>
          <rPr>
            <sz val="10"/>
            <rFont val="Arial"/>
            <family val="2"/>
          </rPr>
          <t xml:space="preserve">Check added with the further review.</t>
        </r>
      </text>
    </comment>
    <comment ref="A19" authorId="0">
      <text>
        <r>
          <rPr>
            <sz val="10"/>
            <rFont val="Arial"/>
            <family val="2"/>
          </rPr>
          <t xml:space="preserve">Check added with the further review.</t>
        </r>
      </text>
    </comment>
    <comment ref="C13" authorId="0">
      <text>
        <r>
          <rPr>
            <sz val="10"/>
            <rFont val="Arial"/>
            <family val="2"/>
          </rPr>
          <t xml:space="preserve">Evidence text updated after the further search; result unchanged.</t>
        </r>
      </text>
    </comment>
  </commentList>
</comments>
</file>

<file path=xl/sharedStrings.xml><?xml version="1.0" encoding="utf-8"?>
<sst xmlns="http://schemas.openxmlformats.org/spreadsheetml/2006/main" count="514" uniqueCount="283">
  <si>
    <t xml:space="preserve">Item</t>
  </si>
  <si>
    <t xml:space="preserve">Description</t>
  </si>
  <si>
    <t xml:space="preserve">Purpose</t>
  </si>
  <si>
    <t xml:space="preserve">Calculation trail for TPWODL (Odisha), FY 2025-26 (sources listed in Source_Documentation). Regulation: OERC (Licensees' Standards of Performance) Regulations, 2004 (S1) as amended by the 1st Amendment Regulations, 2010 (S2); no repeal, replacement or later amendment found in the repository.</t>
  </si>
  <si>
    <t xml:space="preserve">Colour convention</t>
  </si>
  <si>
    <t xml:space="preserve">Blue = values transcribed from source documents; black = formulas; green = links to other sheets.</t>
  </si>
  <si>
    <t xml:space="preserve">Reported-performance source</t>
  </si>
  <si>
    <t xml:space="preserve">No Commission statement of TPWODL's FY 2025-26 performance is available in the permitted repository or the connected Google Drive. No performance value has been entered; all 16 indicators are marked as having no reported value.</t>
  </si>
  <si>
    <t xml:space="preserve">Standards</t>
  </si>
  <si>
    <t xml:space="preserve">Standards are taken from S1 Schedules I and II as amended by S2 and are not transformed.</t>
  </si>
  <si>
    <t xml:space="preserve">Compliance</t>
  </si>
  <si>
    <t xml:space="preserve">Comparison possible? = No for all rows because no reported value is available; Standard met? = N/A for all rows.</t>
  </si>
  <si>
    <t xml:space="preserve">Annualisation</t>
  </si>
  <si>
    <t xml:space="preserve">None performed; there are no values to annualise.</t>
  </si>
  <si>
    <t xml:space="preserve">Prior-year data</t>
  </si>
  <si>
    <t xml:space="preserve">FY 2024-25 accident counts are kept in the Accidents sheet for reference only and are not used as FY 2025-26 evidence.</t>
  </si>
  <si>
    <t xml:space="preserve">Template</t>
  </si>
  <si>
    <t xml:space="preserve">TPWODL FY 2024-25 workbooks used as the formatting template. When the FY 2025-26 statement is obtained, the year should be rerun from the FY 2024-25 workbooks.</t>
  </si>
  <si>
    <t xml:space="preserve">Cross-check against the review record note</t>
  </si>
  <si>
    <t xml:space="preserve">SAIFI, SAIDI and accident counts in the Commission's FY 2025-26 review record note (S4) are shown in Reliability and Accidents as cross-check information. They are not entered as reported values because they are not on the Overall Standards basis, the Commission states the SAIDI / SAIFI data cannot be relied upon, and earlier record notes differed materially from the Commission's statements.</t>
  </si>
  <si>
    <t xml:space="preserve">Verification of reported values</t>
  </si>
  <si>
    <t xml:space="preserve">No FY 2025-26 Overall Standards statement was located, so no reported value exists to verify. The OERC page lists a Guaranteed Standards archive for 2025-26 that could not be opened.</t>
  </si>
  <si>
    <t xml:space="preserve">Regulatory status</t>
  </si>
  <si>
    <t xml:space="preserve">S1 as amended by S2 remains the applicable instrument for FY 2025-26: OERC listings show no other final amendment or replacement. The 2019 draft amendment and the August 2025 draft regulations were not used. The Rights of Consumers Rules, 2020 require a Commission specification of reliability parameters; none was located.</t>
  </si>
  <si>
    <t xml:space="preserve">Outcome</t>
  </si>
  <si>
    <t xml:space="preserve">No reported value, unit, benchmark, comparison decision or compliance result changed. Changes are documentation (source links, gazette details, DISCOM name) and cross-checks. Items that remain open are listed in the dashboard workbook's Source_Gaps.</t>
  </si>
  <si>
    <t xml:space="preserve">Ref</t>
  </si>
  <si>
    <t xml:space="preserve">Parameter (as published)</t>
  </si>
  <si>
    <t xml:space="preserve">Area</t>
  </si>
  <si>
    <t xml:space="preserve">Minimum target fixed by the Commission (as printed)</t>
  </si>
  <si>
    <t xml:space="preserve">Target (numeric)</t>
  </si>
  <si>
    <t xml:space="preserve">TPWODL FY 2025-26 (as printed)</t>
  </si>
  <si>
    <t xml:space="preserve">TPWODL value (numeric)</t>
  </si>
  <si>
    <t xml:space="preserve">Unit (as published)</t>
  </si>
  <si>
    <t xml:space="preserve">Source</t>
  </si>
  <si>
    <t xml:space="preserve">R1</t>
  </si>
  <si>
    <t xml:space="preserve">Rectification of fuse-off call within 6 hrs. of receiving the complaint in urban areas</t>
  </si>
  <si>
    <t xml:space="preserve">Urban</t>
  </si>
  <si>
    <t xml:space="preserve">90</t>
  </si>
  <si>
    <t xml:space="preserve">Not available</t>
  </si>
  <si>
    <t xml:space="preserve">%</t>
  </si>
  <si>
    <t xml:space="preserve">No FY 2025-26 statement available in the permitted repository</t>
  </si>
  <si>
    <t xml:space="preserve">R2</t>
  </si>
  <si>
    <t xml:space="preserve">Rectification of fuse-off call within 24 hrs. of receiving the complaint in rural areas</t>
  </si>
  <si>
    <t xml:space="preserve">Rural</t>
  </si>
  <si>
    <t xml:space="preserve">R3</t>
  </si>
  <si>
    <t xml:space="preserve">Restoration of line break-down within 12 hrs. of receiving the complaint in urban areas</t>
  </si>
  <si>
    <t xml:space="preserve">95</t>
  </si>
  <si>
    <t xml:space="preserve">R4</t>
  </si>
  <si>
    <t xml:space="preserve">Restoration of line break-down within 24 hrs. of receiving the complaint in rural areas</t>
  </si>
  <si>
    <t xml:space="preserve">R5</t>
  </si>
  <si>
    <t xml:space="preserve">Replacement of Distribution Transformer within 24 hrs. of receiving the complaint in urban areas</t>
  </si>
  <si>
    <t xml:space="preserve">R6</t>
  </si>
  <si>
    <t xml:space="preserve">Replacement of Distribution Transformer within 48 hrs. of receiving the complaint in rural areas</t>
  </si>
  <si>
    <t xml:space="preserve">R7</t>
  </si>
  <si>
    <t xml:space="preserve">Completing the work within 12 hrs. of the scheduled outage before 5 PM/6 PM</t>
  </si>
  <si>
    <t xml:space="preserve">All</t>
  </si>
  <si>
    <t xml:space="preserve">--</t>
  </si>
  <si>
    <t xml:space="preserve">R8</t>
  </si>
  <si>
    <t xml:space="preserve">No. of cases in which voltage at the point of commencement of supply exceeded 3% of the voltage limits: EHT</t>
  </si>
  <si>
    <t xml:space="preserve">EHT</t>
  </si>
  <si>
    <t xml:space="preserve">(blank)</t>
  </si>
  <si>
    <t xml:space="preserve">count (unit not established)</t>
  </si>
  <si>
    <t xml:space="preserve">R9</t>
  </si>
  <si>
    <t xml:space="preserve">No. of cases in which voltage at the point of commencement of supply exceeded 3% of the voltage limits: HT</t>
  </si>
  <si>
    <t xml:space="preserve">HT</t>
  </si>
  <si>
    <t xml:space="preserve">R10</t>
  </si>
  <si>
    <t xml:space="preserve">No. of cases in which voltage at the point of commencement of supply exceeded 3% of the voltage limits: LT</t>
  </si>
  <si>
    <t xml:space="preserve">LT</t>
  </si>
  <si>
    <t xml:space="preserve">R11</t>
  </si>
  <si>
    <t xml:space="preserve">No. of hourly measurement in which the supply frequency went beyond + 3%</t>
  </si>
  <si>
    <t xml:space="preserve">count</t>
  </si>
  <si>
    <t xml:space="preserve">R12</t>
  </si>
  <si>
    <t xml:space="preserve">Rectification of Street light fault within 6 hrs. of receiving the complaint</t>
  </si>
  <si>
    <t xml:space="preserve">R13</t>
  </si>
  <si>
    <t xml:space="preserve">No. of faulty bills prepared as a percentage of total no. of bills issued</t>
  </si>
  <si>
    <t xml:space="preserve">0.1</t>
  </si>
  <si>
    <t xml:space="preserve">R14</t>
  </si>
  <si>
    <t xml:space="preserve">No. of faulty/defective meters as a percentage of total no. of existing meters</t>
  </si>
  <si>
    <t xml:space="preserve">5</t>
  </si>
  <si>
    <t xml:space="preserve">R15</t>
  </si>
  <si>
    <t xml:space="preserve">Total no. of interruption each lasting more than 5 minutes faced by 1 KW connected load (SAIFI)(Nos.)</t>
  </si>
  <si>
    <t xml:space="preserve">Nos. per 1 kW</t>
  </si>
  <si>
    <t xml:space="preserve">R16</t>
  </si>
  <si>
    <t xml:space="preserve">Total no. of interruption each lasting less than 5 minutes faced by 1 KW connected load (MAIFI)(Nos.)</t>
  </si>
  <si>
    <t xml:space="preserve">R17</t>
  </si>
  <si>
    <t xml:space="preserve">Total duration of interruption in minutes each 1 KW connected load (SAIDI)(Minutes)</t>
  </si>
  <si>
    <t xml:space="preserve">Minutes per 1 kW</t>
  </si>
  <si>
    <t xml:space="preserve">Parameter</t>
  </si>
  <si>
    <t xml:space="preserve">Urban share (%)</t>
  </si>
  <si>
    <t xml:space="preserve">Rural share (%)</t>
  </si>
  <si>
    <t xml:space="preserve">Lower area share (%)</t>
  </si>
  <si>
    <t xml:space="preserve">Higher area share (%)</t>
  </si>
  <si>
    <t xml:space="preserve">Combined FY share (%)</t>
  </si>
  <si>
    <t xml:space="preserve">Regulatory threshold (%) (S1)</t>
  </si>
  <si>
    <t xml:space="preserve">Commission target shown in S3 (%)</t>
  </si>
  <si>
    <t xml:space="preserve">Threshold check (S1 = S3)</t>
  </si>
  <si>
    <t xml:space="preserve">Comparison possible? (dashboard decision)</t>
  </si>
  <si>
    <t xml:space="preserve">Aggregate test on S1 basis</t>
  </si>
  <si>
    <t xml:space="preserve">Area-level test (S3 presentation)</t>
  </si>
  <si>
    <t xml:space="preserve">Source / note</t>
  </si>
  <si>
    <t xml:space="preserve">S1-basis status (before dashboard decision)</t>
  </si>
  <si>
    <t xml:space="preserve">Normal fuse-off call rectification</t>
  </si>
  <si>
    <t xml:space="preserve">No value</t>
  </si>
  <si>
    <t xml:space="preserve">n/a</t>
  </si>
  <si>
    <t xml:space="preserve">No</t>
  </si>
  <si>
    <t xml:space="preserve">N/A</t>
  </si>
  <si>
    <t xml:space="preserve">Thresholds per S1 Sch. II 1.1-1.3 (p.14). No FY 2025-26 value available</t>
  </si>
  <si>
    <t xml:space="preserve">Not determinable: no value reported</t>
  </si>
  <si>
    <t xml:space="preserve">Line breakdown restoration</t>
  </si>
  <si>
    <t xml:space="preserve">Distribution transformer failure restoration</t>
  </si>
  <si>
    <t xml:space="preserve">Reported value (%)</t>
  </si>
  <si>
    <t xml:space="preserve">Direction</t>
  </si>
  <si>
    <t xml:space="preserve">Test result (original basis)</t>
  </si>
  <si>
    <t xml:space="preserve">Margin to threshold (pp)</t>
  </si>
  <si>
    <t xml:space="preserve">Scheduled outage share</t>
  </si>
  <si>
    <t xml:space="preserve">No value reported</t>
  </si>
  <si>
    <t xml:space="preserve">At least</t>
  </si>
  <si>
    <t xml:space="preserve">S1 Sch. No FY 2025-26 value available</t>
  </si>
  <si>
    <t xml:space="preserve">Street-light fault rectification share</t>
  </si>
  <si>
    <t xml:space="preserve">Faulty-bill share</t>
  </si>
  <si>
    <t xml:space="preserve">Not more than</t>
  </si>
  <si>
    <t xml:space="preserve">Defective-meter share</t>
  </si>
  <si>
    <t xml:space="preserve">Index</t>
  </si>
  <si>
    <t xml:space="preserve">Reported FY value</t>
  </si>
  <si>
    <t xml:space="preserve">Unit (dashboard)</t>
  </si>
  <si>
    <t xml:space="preserve">Unit evidence</t>
  </si>
  <si>
    <t xml:space="preserve">Formula (S1 Sch. II 1.5, p.15)</t>
  </si>
  <si>
    <t xml:space="preserve">Note</t>
  </si>
  <si>
    <t xml:space="preserve">SAIDI</t>
  </si>
  <si>
    <t xml:space="preserve">Minutes per kW of connected load</t>
  </si>
  <si>
    <t xml:space="preserve">S3 '(Minutes)', 'each 1 KW connected load'</t>
  </si>
  <si>
    <t xml:space="preserve">Σ(Bi×Ni) ÷ Nt</t>
  </si>
  <si>
    <t xml:space="preserve">Annual value; no components reported</t>
  </si>
  <si>
    <t xml:space="preserve">SAIFI</t>
  </si>
  <si>
    <t xml:space="preserve">Interruptions per kW of connected load</t>
  </si>
  <si>
    <t xml:space="preserve">S3 '(Nos.)', 'faced by 1 KW connected load'; S1 formula (count × kW ÷ kW)</t>
  </si>
  <si>
    <t xml:space="preserve">Σ(Ai×Ni) ÷ Nt</t>
  </si>
  <si>
    <t xml:space="preserve">MAIFI</t>
  </si>
  <si>
    <t xml:space="preserve">Momentary interruptions per kW of connected load</t>
  </si>
  <si>
    <t xml:space="preserve">S3 '(Nos.)', 'faced by 1 KW connected load'; S1 formula</t>
  </si>
  <si>
    <t xml:space="preserve">Σ(Ci×Ni) ÷ Nt</t>
  </si>
  <si>
    <t xml:space="preserve">SAIDI in hours (information)</t>
  </si>
  <si>
    <t xml:space="preserve">Hours per kW of connected load</t>
  </si>
  <si>
    <t xml:space="preserve">Conversion ÷ 60</t>
  </si>
  <si>
    <t xml:space="preserve">Not applicable</t>
  </si>
  <si>
    <t xml:space="preserve">Not used on the dashboard</t>
  </si>
  <si>
    <t xml:space="preserve">Plausibility: SAIDI ÷ SAIFI</t>
  </si>
  <si>
    <t xml:space="preserve">Minutes per interruption</t>
  </si>
  <si>
    <t xml:space="preserve">Derived</t>
  </si>
  <si>
    <t xml:space="preserve">Plausibility check only; CAIDI is not specified in S1 or reported in S3 and is not a dashboard indicator</t>
  </si>
  <si>
    <t xml:space="preserve">Plausibility: MAIFI ÷ SAIFI</t>
  </si>
  <si>
    <t xml:space="preserve">Ratio</t>
  </si>
  <si>
    <t xml:space="preserve">Plausibility check only</t>
  </si>
  <si>
    <t xml:space="preserve">Cross-check: record note SAIFI (S4)</t>
  </si>
  <si>
    <t xml:space="preserve">Nos. (per-kW basis not printed in S4)</t>
  </si>
  <si>
    <t xml:space="preserve">OERC record note of the TPWODL performance review (S4)</t>
  </si>
  <si>
    <t xml:space="preserve">Cross-check: record note SAIDI (S4)</t>
  </si>
  <si>
    <t xml:space="preserve">Hours (per-kW basis not printed in S4)</t>
  </si>
  <si>
    <t xml:space="preserve">Voltage level</t>
  </si>
  <si>
    <t xml:space="preserve">As printed</t>
  </si>
  <si>
    <t xml:space="preserve">Numeric</t>
  </si>
  <si>
    <t xml:space="preserve">No FY 2025-26 value available</t>
  </si>
  <si>
    <t xml:space="preserve">Category</t>
  </si>
  <si>
    <t xml:space="preserve">FY 2024-25 (as printed)</t>
  </si>
  <si>
    <t xml:space="preserve">FY 2024-25</t>
  </si>
  <si>
    <t xml:space="preserve">FY 2025-26 (as printed)</t>
  </si>
  <si>
    <t xml:space="preserve">FY 2025-26</t>
  </si>
  <si>
    <t xml:space="preserve">Change (FY 2025-26 - FY 2024-25)</t>
  </si>
  <si>
    <t xml:space="preserve">Record note FY 2025-26 (S4)</t>
  </si>
  <si>
    <t xml:space="preserve">Basis</t>
  </si>
  <si>
    <t xml:space="preserve">Fatal Human</t>
  </si>
  <si>
    <t xml:space="preserve">08</t>
  </si>
  <si>
    <t xml:space="preserve">FY 2024-25 from the FY 2024-25 workbook; no FY 2025-26 statement available</t>
  </si>
  <si>
    <t xml:space="preserve">Human accidents with loss of life</t>
  </si>
  <si>
    <t xml:space="preserve">Non-fatal Human</t>
  </si>
  <si>
    <t xml:space="preserve">12</t>
  </si>
  <si>
    <t xml:space="preserve">Derived: human accidents less those with loss of life</t>
  </si>
  <si>
    <t xml:space="preserve">Fatal Animal</t>
  </si>
  <si>
    <t xml:space="preserve">28</t>
  </si>
  <si>
    <t xml:space="preserve">Not given</t>
  </si>
  <si>
    <t xml:space="preserve">Animal accidents are given only as a total (14)</t>
  </si>
  <si>
    <t xml:space="preserve">Non-fatal Animal</t>
  </si>
  <si>
    <t xml:space="preserve">00</t>
  </si>
  <si>
    <t xml:space="preserve">Total (all categories)</t>
  </si>
  <si>
    <t xml:space="preserve">Computed</t>
  </si>
  <si>
    <t xml:space="preserve">Record note: human accidents in total (S4)</t>
  </si>
  <si>
    <t xml:space="preserve">Record note: animal accidents in total (S4)</t>
  </si>
  <si>
    <t xml:space="preserve">Source: record note (S4)</t>
  </si>
  <si>
    <t xml:space="preserve">Main-sheet indicator</t>
  </si>
  <si>
    <t xml:space="preserve">FY value (formula)</t>
  </si>
  <si>
    <t xml:space="preserve">Format</t>
  </si>
  <si>
    <t xml:space="preserve">Dashboard text (Annualised / standardised reported data)</t>
  </si>
  <si>
    <t xml:space="preserve">Normal fuse-off call rectification — share resolved within standard</t>
  </si>
  <si>
    <t xml:space="preserve">Not annualised: no reported value.</t>
  </si>
  <si>
    <t xml:space="preserve">Line breakdown restoration — share resolved within standard</t>
  </si>
  <si>
    <t xml:space="preserve">Distribution transformer failure restoration — share resolved within standard</t>
  </si>
  <si>
    <t xml:space="preserve">Scheduled outage restoration — share resolved within standard</t>
  </si>
  <si>
    <t xml:space="preserve">Street-light fault rectification — share resolved within standard</t>
  </si>
  <si>
    <t xml:space="preserve">Billing mistakes — faulty bills as share of bills issued</t>
  </si>
  <si>
    <t xml:space="preserve">Defective meters — share of meters in service</t>
  </si>
  <si>
    <t xml:space="preserve">System Average Interruption Duration Index (SAIDI)</t>
  </si>
  <si>
    <t xml:space="preserve">System Average Interruption Frequency Index (SAIFI)</t>
  </si>
  <si>
    <t xml:space="preserve">Momentary Average Interruption Frequency Index (MAIFI)</t>
  </si>
  <si>
    <t xml:space="preserve">Supply frequency outside ±3% of 50 Hz — number of hourly measurements</t>
  </si>
  <si>
    <t xml:space="preserve">Supply voltage at point of supply outside limits — number of cases (EHT / HT / LT)</t>
  </si>
  <si>
    <t xml:space="preserve">Fatal electrical accidents — humans</t>
  </si>
  <si>
    <t xml:space="preserve">Non-fatal electrical accidents — humans</t>
  </si>
  <si>
    <t xml:space="preserve">Fatal electrical accidents — animals</t>
  </si>
  <si>
    <t xml:space="preserve">Non-fatal electrical accidents — animals</t>
  </si>
  <si>
    <t xml:space="preserve">FY 2024-25 value in the FY 2024-25 workbook</t>
  </si>
  <si>
    <t xml:space="preserve">FY 2024-25 value shown in the FY 2025-26 statement</t>
  </si>
  <si>
    <t xml:space="preserve">Difference</t>
  </si>
  <si>
    <t xml:space="preserve">Status</t>
  </si>
  <si>
    <t xml:space="preserve">FY 2024-25 source</t>
  </si>
  <si>
    <t xml:space="preserve">FY 2025-26 source</t>
  </si>
  <si>
    <t xml:space="preserve">Fatal human accidents</t>
  </si>
  <si>
    <t xml:space="preserve">NOT TESTED</t>
  </si>
  <si>
    <t xml:space="preserve">TPWODL FY 2024-25 Calculations &gt; Accidents</t>
  </si>
  <si>
    <t xml:space="preserve">No FY 2025-26 statement available</t>
  </si>
  <si>
    <t xml:space="preserve">Non-fatal human accidents</t>
  </si>
  <si>
    <t xml:space="preserve">Fatal animal accidents</t>
  </si>
  <si>
    <t xml:space="preserve">Non-fatal animal accidents</t>
  </si>
  <si>
    <t xml:space="preserve">Check</t>
  </si>
  <si>
    <t xml:space="preserve">Result</t>
  </si>
  <si>
    <t xml:space="preserve">Detail</t>
  </si>
  <si>
    <t xml:space="preserve">Row set vs FY 2024-25 main sheet</t>
  </si>
  <si>
    <t xml:space="preserve">Pass</t>
  </si>
  <si>
    <t xml:space="preserve">16 rows in the same order with identical indicator names and Standard text.</t>
  </si>
  <si>
    <t xml:space="preserve">Row-by-row field comparison</t>
  </si>
  <si>
    <t xml:space="preserve">Pass (genuine differences)</t>
  </si>
  <si>
    <t xml:space="preserve">Reported data, Annualised, Comparison, Standard met?, reason, interpretation and transformation fields changed for all 16 rows because no FY 2025-26 value is available.</t>
  </si>
  <si>
    <t xml:space="preserve">Comparison / compliance logic</t>
  </si>
  <si>
    <t xml:space="preserve">16 of 16 rows No / N/A (FY 2024-25: 13 No / N/A and 3 Yes / Yes).</t>
  </si>
  <si>
    <t xml:space="preserve">Standard column identical to FY 2024-25 in all rows; S1 and S2 unchanged.</t>
  </si>
  <si>
    <t xml:space="preserve">Substantive evidence</t>
  </si>
  <si>
    <t xml:space="preserve">No FY 2024-25 or earlier performance values carried into FY 2025-26 rows.</t>
  </si>
  <si>
    <t xml:space="preserve">Consistency with the completed second-pass years</t>
  </si>
  <si>
    <t xml:space="preserve">DISCOM field, FY notation convention and source numbering follow the completed FY 2021-22 to FY 2024-25 workbooks. All 16 Main rows keep the same names, categories, units, Standard wording and comparison logic.</t>
  </si>
  <si>
    <t xml:space="preserve">Evidence</t>
  </si>
  <si>
    <t xml:space="preserve">Full permitted repository searched</t>
  </si>
  <si>
    <t xml:space="preserve">Pass (gap recorded)</t>
  </si>
  <si>
    <t xml:space="preserve">Repository files and the connected Google Drive searched for a FY 2025-26 TPWODL statement; none found.</t>
  </si>
  <si>
    <t xml:space="preserve">Applicable regulation re-established</t>
  </si>
  <si>
    <t xml:space="preserve">S1 as amended by S2; no later amendment found (Source_Gaps).</t>
  </si>
  <si>
    <t xml:space="preserve">Definitions, units, formulas, reporting basis, benchmarks</t>
  </si>
  <si>
    <t xml:space="preserve">Pass (limited)</t>
  </si>
  <si>
    <t xml:space="preserve">Benchmarks from S1 Sch. II; units and reporting basis follow S1 and earlier statements and cannot be re-verified for this year.</t>
  </si>
  <si>
    <t xml:space="preserve">Unit check</t>
  </si>
  <si>
    <t xml:space="preserve">Not testable</t>
  </si>
  <si>
    <t xml:space="preserve">No values present.</t>
  </si>
  <si>
    <t xml:space="preserve">Annualisation-method check</t>
  </si>
  <si>
    <t xml:space="preserve">No annualisation performed.</t>
  </si>
  <si>
    <t xml:space="preserve">Detailed-figures check</t>
  </si>
  <si>
    <t xml:space="preserve">No figures in Reported data or Annualised fields.</t>
  </si>
  <si>
    <t xml:space="preserve">Comparison possible? / Standard met? logic</t>
  </si>
  <si>
    <t xml:space="preserve">16 of 16 rows No / N/A.</t>
  </si>
  <si>
    <t xml:space="preserve">Standards not transformed</t>
  </si>
  <si>
    <t xml:space="preserve">Standards as in S1.</t>
  </si>
  <si>
    <t xml:space="preserve">Main sheet columns and public-facing language</t>
  </si>
  <si>
    <t xml:space="preserve">13 prescribed columns; internal-process wording scan clean.</t>
  </si>
  <si>
    <t xml:space="preserve">Dashboard transfer reconciliation</t>
  </si>
  <si>
    <t xml:space="preserve">Transfer text matches main sheet for all 16 rows.</t>
  </si>
  <si>
    <t xml:space="preserve">Row-by-row consistency with FY 2024-25</t>
  </si>
  <si>
    <t xml:space="preserve">See PriorFY_Row_Check.</t>
  </si>
  <si>
    <t xml:space="preserve">Data completeness</t>
  </si>
  <si>
    <t xml:space="preserve">FAIL (source missing)</t>
  </si>
  <si>
    <t xml:space="preserve">No FY 2025-26 Overall Standards statement exists in the sources reviewed (Source_Gaps); all rows carry no reported value.</t>
  </si>
  <si>
    <t xml:space="preserve">Regulatory status verified for each instrument used</t>
  </si>
  <si>
    <t xml:space="preserve">Pass (limits recorded)</t>
  </si>
  <si>
    <t xml:space="preserve">S1, S2 (final, notified; gazette details S12); S5 (final central rules); S7 (listed as gazette notification; number not stated in the document). Drafts excluded.</t>
  </si>
  <si>
    <t xml:space="preserve">No draft or proposed regulation used as a standard</t>
  </si>
  <si>
    <t xml:space="preserve">The 2019 and 2025 drafts are recorded in Source_Gaps as excluded.</t>
  </si>
  <si>
    <t xml:space="preserve">Source links are clickable and lead to the intended document or hosting page</t>
  </si>
  <si>
    <t xml:space="preserve">Links were opened with a fetch tool. Limits: S5 is a copy hosted by another State Commission; the TPWODL page could not be read; the Guaranteed Standards 2025-26 archive could not be opened.</t>
  </si>
  <si>
    <t xml:space="preserve">Reported values verified against a second copy</t>
  </si>
  <si>
    <t xml:space="preserve">Not possible</t>
  </si>
  <si>
    <t xml:space="preserve">No FY 2025-26 statement located. Record note (S4) figures are cross-check only (Review_Items).</t>
  </si>
  <si>
    <t xml:space="preserve">Changes highlighted and noted</t>
  </si>
  <si>
    <t xml:space="preserve">Changed cells carry the common highlight and a cell note; typography-only edits (dashes) are not highlighted.</t>
  </si>
  <si>
    <t xml:space="preserve">Sources-folder requirements checked against the completed Main sheet</t>
  </si>
  <si>
    <t xml:space="preserve">Pass (limit recorded)</t>
  </si>
  <si>
    <t xml:space="preserve">No new document is required beyond S5, S6, S7, S11 and S12 identified for FY 2021-22 (presence in the folder not verified). The existing Sources folder could not be located or inspected.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</si>
</sst>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"/>
    <numFmt numFmtId="167" formatCode="0.0000"/>
    <numFmt numFmtId="168" formatCode="#,##0"/>
    <numFmt numFmtId="169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orierc.org/CuteSoft_Client/writereaddata/upload/PerfomanceTPWODLuptoMar2026.pdf" TargetMode="External"/><Relationship Id="rId3" Type="http://schemas.openxmlformats.org/officeDocument/2006/relationships/hyperlink" Target="https://orierc.org/CuteSoft_Client/writereaddata/upload/PerfomanceTPWODLuptoMar2026.pdf" TargetMode="External"/><Relationship Id="rId4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orierc.org/CuteSoft_Client/writereaddata/upload/PerfomanceTPWODLuptoMar2026.pdf" TargetMode="External"/><Relationship Id="rId3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4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0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34.5" hidden="false" customHeight="true" outlineLevel="0" collapsed="false">
      <c r="A2" s="3" t="s">
        <v>2</v>
      </c>
      <c r="B2" s="3" t="s">
        <v>3</v>
      </c>
    </row>
    <row r="3" customFormat="false" ht="15" hidden="false" customHeight="true" outlineLevel="0" collapsed="false">
      <c r="A3" s="3" t="s">
        <v>4</v>
      </c>
      <c r="B3" s="3" t="s">
        <v>5</v>
      </c>
    </row>
    <row r="4" customFormat="false" ht="23.25" hidden="false" customHeight="true" outlineLevel="0" collapsed="false">
      <c r="A4" s="3" t="s">
        <v>6</v>
      </c>
      <c r="B4" s="3" t="s">
        <v>7</v>
      </c>
    </row>
    <row r="5" customFormat="false" ht="15" hidden="false" customHeight="true" outlineLevel="0" collapsed="false">
      <c r="A5" s="3" t="s">
        <v>8</v>
      </c>
      <c r="B5" s="3" t="s">
        <v>9</v>
      </c>
    </row>
    <row r="6" customFormat="false" ht="15" hidden="false" customHeight="true" outlineLevel="0" collapsed="false">
      <c r="A6" s="3" t="s">
        <v>10</v>
      </c>
      <c r="B6" s="3" t="s">
        <v>11</v>
      </c>
    </row>
    <row r="7" customFormat="false" ht="15" hidden="false" customHeight="true" outlineLevel="0" collapsed="false">
      <c r="A7" s="3" t="s">
        <v>12</v>
      </c>
      <c r="B7" s="3" t="s">
        <v>13</v>
      </c>
    </row>
    <row r="8" customFormat="false" ht="15" hidden="false" customHeight="true" outlineLevel="0" collapsed="false">
      <c r="A8" s="3" t="s">
        <v>14</v>
      </c>
      <c r="B8" s="3" t="s">
        <v>15</v>
      </c>
    </row>
    <row r="9" customFormat="false" ht="23.25" hidden="false" customHeight="true" outlineLevel="0" collapsed="false">
      <c r="A9" s="3" t="s">
        <v>16</v>
      </c>
      <c r="B9" s="3" t="s">
        <v>17</v>
      </c>
    </row>
    <row r="10" customFormat="false" ht="35.05" hidden="false" customHeight="false" outlineLevel="0" collapsed="false">
      <c r="A10" s="4" t="s">
        <v>18</v>
      </c>
      <c r="B10" s="4" t="s">
        <v>19</v>
      </c>
    </row>
    <row r="11" customFormat="false" ht="23.85" hidden="false" customHeight="false" outlineLevel="0" collapsed="false">
      <c r="A11" s="4" t="s">
        <v>20</v>
      </c>
      <c r="B11" s="4" t="s">
        <v>21</v>
      </c>
    </row>
    <row r="12" customFormat="false" ht="35.05" hidden="false" customHeight="false" outlineLevel="0" collapsed="false">
      <c r="A12" s="4" t="s">
        <v>22</v>
      </c>
      <c r="B12" s="4" t="s">
        <v>23</v>
      </c>
    </row>
    <row r="13" customFormat="false" ht="23.85" hidden="false" customHeight="false" outlineLevel="0" collapsed="false">
      <c r="A13" s="4" t="s">
        <v>24</v>
      </c>
      <c r="B13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60"/>
    <col collapsed="false" customWidth="true" hidden="false" outlineLevel="0" max="3" min="3" style="1" width="8"/>
    <col collapsed="false" customWidth="true" hidden="false" outlineLevel="0" max="4" min="4" style="1" width="16"/>
    <col collapsed="false" customWidth="true" hidden="false" outlineLevel="0" max="5" min="5" style="1" width="11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40"/>
  </cols>
  <sheetData>
    <row r="1" customFormat="false" ht="45.75" hidden="false" customHeight="tru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</row>
    <row r="2" customFormat="false" ht="23.25" hidden="false" customHeight="true" outlineLevel="0" collapsed="false">
      <c r="A2" s="3" t="s">
        <v>35</v>
      </c>
      <c r="B2" s="5" t="s">
        <v>36</v>
      </c>
      <c r="C2" s="5" t="s">
        <v>37</v>
      </c>
      <c r="D2" s="5" t="s">
        <v>38</v>
      </c>
      <c r="E2" s="5" t="n">
        <v>90</v>
      </c>
      <c r="F2" s="5" t="s">
        <v>39</v>
      </c>
      <c r="G2" s="6"/>
      <c r="H2" s="5" t="s">
        <v>40</v>
      </c>
      <c r="I2" s="3" t="s">
        <v>41</v>
      </c>
    </row>
    <row r="3" customFormat="false" ht="23.25" hidden="false" customHeight="true" outlineLevel="0" collapsed="false">
      <c r="A3" s="3" t="s">
        <v>42</v>
      </c>
      <c r="B3" s="5" t="s">
        <v>43</v>
      </c>
      <c r="C3" s="5" t="s">
        <v>44</v>
      </c>
      <c r="D3" s="5" t="s">
        <v>38</v>
      </c>
      <c r="E3" s="5" t="n">
        <v>90</v>
      </c>
      <c r="F3" s="5" t="s">
        <v>39</v>
      </c>
      <c r="G3" s="6"/>
      <c r="H3" s="5" t="s">
        <v>40</v>
      </c>
      <c r="I3" s="3" t="s">
        <v>41</v>
      </c>
    </row>
    <row r="4" customFormat="false" ht="23.25" hidden="false" customHeight="true" outlineLevel="0" collapsed="false">
      <c r="A4" s="3" t="s">
        <v>45</v>
      </c>
      <c r="B4" s="5" t="s">
        <v>46</v>
      </c>
      <c r="C4" s="5" t="s">
        <v>37</v>
      </c>
      <c r="D4" s="5" t="s">
        <v>47</v>
      </c>
      <c r="E4" s="5" t="n">
        <v>95</v>
      </c>
      <c r="F4" s="5" t="s">
        <v>39</v>
      </c>
      <c r="G4" s="6"/>
      <c r="H4" s="5" t="s">
        <v>40</v>
      </c>
      <c r="I4" s="3" t="s">
        <v>41</v>
      </c>
    </row>
    <row r="5" customFormat="false" ht="23.25" hidden="false" customHeight="true" outlineLevel="0" collapsed="false">
      <c r="A5" s="3" t="s">
        <v>48</v>
      </c>
      <c r="B5" s="5" t="s">
        <v>49</v>
      </c>
      <c r="C5" s="5" t="s">
        <v>44</v>
      </c>
      <c r="D5" s="5" t="s">
        <v>47</v>
      </c>
      <c r="E5" s="5" t="n">
        <v>95</v>
      </c>
      <c r="F5" s="5" t="s">
        <v>39</v>
      </c>
      <c r="G5" s="6"/>
      <c r="H5" s="5" t="s">
        <v>40</v>
      </c>
      <c r="I5" s="3" t="s">
        <v>41</v>
      </c>
    </row>
    <row r="6" customFormat="false" ht="23.25" hidden="false" customHeight="true" outlineLevel="0" collapsed="false">
      <c r="A6" s="3" t="s">
        <v>50</v>
      </c>
      <c r="B6" s="5" t="s">
        <v>51</v>
      </c>
      <c r="C6" s="5" t="s">
        <v>37</v>
      </c>
      <c r="D6" s="5" t="s">
        <v>47</v>
      </c>
      <c r="E6" s="5" t="n">
        <v>95</v>
      </c>
      <c r="F6" s="5" t="s">
        <v>39</v>
      </c>
      <c r="G6" s="6"/>
      <c r="H6" s="5" t="s">
        <v>40</v>
      </c>
      <c r="I6" s="3" t="s">
        <v>41</v>
      </c>
    </row>
    <row r="7" customFormat="false" ht="23.25" hidden="false" customHeight="true" outlineLevel="0" collapsed="false">
      <c r="A7" s="3" t="s">
        <v>52</v>
      </c>
      <c r="B7" s="5" t="s">
        <v>53</v>
      </c>
      <c r="C7" s="5" t="s">
        <v>44</v>
      </c>
      <c r="D7" s="5" t="s">
        <v>47</v>
      </c>
      <c r="E7" s="5" t="n">
        <v>95</v>
      </c>
      <c r="F7" s="5" t="s">
        <v>39</v>
      </c>
      <c r="G7" s="6"/>
      <c r="H7" s="5" t="s">
        <v>40</v>
      </c>
      <c r="I7" s="3" t="s">
        <v>41</v>
      </c>
    </row>
    <row r="8" customFormat="false" ht="23.25" hidden="false" customHeight="true" outlineLevel="0" collapsed="false">
      <c r="A8" s="3" t="s">
        <v>54</v>
      </c>
      <c r="B8" s="5" t="s">
        <v>55</v>
      </c>
      <c r="C8" s="5" t="s">
        <v>56</v>
      </c>
      <c r="D8" s="5" t="s">
        <v>57</v>
      </c>
      <c r="E8" s="5"/>
      <c r="F8" s="5" t="s">
        <v>39</v>
      </c>
      <c r="G8" s="6"/>
      <c r="H8" s="5" t="s">
        <v>40</v>
      </c>
      <c r="I8" s="3" t="s">
        <v>41</v>
      </c>
    </row>
    <row r="9" customFormat="false" ht="23.25" hidden="false" customHeight="true" outlineLevel="0" collapsed="false">
      <c r="A9" s="3" t="s">
        <v>58</v>
      </c>
      <c r="B9" s="5" t="s">
        <v>59</v>
      </c>
      <c r="C9" s="5" t="s">
        <v>60</v>
      </c>
      <c r="D9" s="5" t="s">
        <v>61</v>
      </c>
      <c r="E9" s="5"/>
      <c r="F9" s="5" t="s">
        <v>39</v>
      </c>
      <c r="G9" s="6"/>
      <c r="H9" s="5" t="s">
        <v>62</v>
      </c>
      <c r="I9" s="3" t="s">
        <v>41</v>
      </c>
    </row>
    <row r="10" customFormat="false" ht="23.25" hidden="false" customHeight="true" outlineLevel="0" collapsed="false">
      <c r="A10" s="3" t="s">
        <v>63</v>
      </c>
      <c r="B10" s="5" t="s">
        <v>64</v>
      </c>
      <c r="C10" s="5" t="s">
        <v>65</v>
      </c>
      <c r="D10" s="5" t="s">
        <v>61</v>
      </c>
      <c r="E10" s="5"/>
      <c r="F10" s="5" t="s">
        <v>39</v>
      </c>
      <c r="G10" s="6"/>
      <c r="H10" s="5" t="s">
        <v>62</v>
      </c>
      <c r="I10" s="3" t="s">
        <v>41</v>
      </c>
    </row>
    <row r="11" customFormat="false" ht="23.25" hidden="false" customHeight="true" outlineLevel="0" collapsed="false">
      <c r="A11" s="3" t="s">
        <v>66</v>
      </c>
      <c r="B11" s="5" t="s">
        <v>67</v>
      </c>
      <c r="C11" s="5" t="s">
        <v>68</v>
      </c>
      <c r="D11" s="5" t="s">
        <v>61</v>
      </c>
      <c r="E11" s="5"/>
      <c r="F11" s="5" t="s">
        <v>39</v>
      </c>
      <c r="G11" s="7"/>
      <c r="H11" s="5" t="s">
        <v>62</v>
      </c>
      <c r="I11" s="3" t="s">
        <v>41</v>
      </c>
    </row>
    <row r="12" customFormat="false" ht="23.25" hidden="false" customHeight="true" outlineLevel="0" collapsed="false">
      <c r="A12" s="3" t="s">
        <v>69</v>
      </c>
      <c r="B12" s="5" t="s">
        <v>70</v>
      </c>
      <c r="C12" s="5" t="s">
        <v>56</v>
      </c>
      <c r="D12" s="5" t="s">
        <v>57</v>
      </c>
      <c r="E12" s="5"/>
      <c r="F12" s="5" t="s">
        <v>39</v>
      </c>
      <c r="G12" s="6"/>
      <c r="H12" s="5" t="s">
        <v>71</v>
      </c>
      <c r="I12" s="3" t="s">
        <v>41</v>
      </c>
    </row>
    <row r="13" customFormat="false" ht="23.25" hidden="false" customHeight="true" outlineLevel="0" collapsed="false">
      <c r="A13" s="3" t="s">
        <v>72</v>
      </c>
      <c r="B13" s="5" t="s">
        <v>73</v>
      </c>
      <c r="C13" s="5" t="s">
        <v>56</v>
      </c>
      <c r="D13" s="5" t="s">
        <v>38</v>
      </c>
      <c r="E13" s="5" t="n">
        <v>90</v>
      </c>
      <c r="F13" s="5" t="s">
        <v>39</v>
      </c>
      <c r="G13" s="6"/>
      <c r="H13" s="5" t="s">
        <v>40</v>
      </c>
      <c r="I13" s="3" t="s">
        <v>41</v>
      </c>
    </row>
    <row r="14" customFormat="false" ht="23.25" hidden="false" customHeight="true" outlineLevel="0" collapsed="false">
      <c r="A14" s="3" t="s">
        <v>74</v>
      </c>
      <c r="B14" s="5" t="s">
        <v>75</v>
      </c>
      <c r="C14" s="5" t="s">
        <v>56</v>
      </c>
      <c r="D14" s="5" t="s">
        <v>76</v>
      </c>
      <c r="E14" s="5" t="n">
        <v>0.1</v>
      </c>
      <c r="F14" s="5" t="s">
        <v>39</v>
      </c>
      <c r="G14" s="6"/>
      <c r="H14" s="5" t="s">
        <v>40</v>
      </c>
      <c r="I14" s="3" t="s">
        <v>41</v>
      </c>
    </row>
    <row r="15" customFormat="false" ht="23.25" hidden="false" customHeight="true" outlineLevel="0" collapsed="false">
      <c r="A15" s="3" t="s">
        <v>77</v>
      </c>
      <c r="B15" s="5" t="s">
        <v>78</v>
      </c>
      <c r="C15" s="5" t="s">
        <v>56</v>
      </c>
      <c r="D15" s="5" t="s">
        <v>79</v>
      </c>
      <c r="E15" s="5" t="n">
        <v>5</v>
      </c>
      <c r="F15" s="5" t="s">
        <v>39</v>
      </c>
      <c r="G15" s="6"/>
      <c r="H15" s="5" t="s">
        <v>40</v>
      </c>
      <c r="I15" s="3" t="s">
        <v>41</v>
      </c>
    </row>
    <row r="16" customFormat="false" ht="23.25" hidden="false" customHeight="true" outlineLevel="0" collapsed="false">
      <c r="A16" s="3" t="s">
        <v>80</v>
      </c>
      <c r="B16" s="5" t="s">
        <v>81</v>
      </c>
      <c r="C16" s="5" t="s">
        <v>56</v>
      </c>
      <c r="D16" s="5" t="s">
        <v>61</v>
      </c>
      <c r="E16" s="5"/>
      <c r="F16" s="5" t="s">
        <v>39</v>
      </c>
      <c r="G16" s="6"/>
      <c r="H16" s="5" t="s">
        <v>82</v>
      </c>
      <c r="I16" s="3" t="s">
        <v>41</v>
      </c>
    </row>
    <row r="17" customFormat="false" ht="23.25" hidden="false" customHeight="true" outlineLevel="0" collapsed="false">
      <c r="A17" s="3" t="s">
        <v>83</v>
      </c>
      <c r="B17" s="5" t="s">
        <v>84</v>
      </c>
      <c r="C17" s="5" t="s">
        <v>56</v>
      </c>
      <c r="D17" s="5" t="s">
        <v>61</v>
      </c>
      <c r="E17" s="5"/>
      <c r="F17" s="5" t="s">
        <v>39</v>
      </c>
      <c r="G17" s="6"/>
      <c r="H17" s="5" t="s">
        <v>82</v>
      </c>
      <c r="I17" s="3" t="s">
        <v>41</v>
      </c>
    </row>
    <row r="18" customFormat="false" ht="23.25" hidden="false" customHeight="true" outlineLevel="0" collapsed="false">
      <c r="A18" s="3" t="s">
        <v>85</v>
      </c>
      <c r="B18" s="5" t="s">
        <v>86</v>
      </c>
      <c r="C18" s="5" t="s">
        <v>56</v>
      </c>
      <c r="D18" s="5" t="s">
        <v>61</v>
      </c>
      <c r="E18" s="5"/>
      <c r="F18" s="5" t="s">
        <v>39</v>
      </c>
      <c r="G18" s="6"/>
      <c r="H18" s="5" t="s">
        <v>87</v>
      </c>
      <c r="I18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0"/>
    <col collapsed="false" customWidth="true" hidden="false" outlineLevel="0" max="6" min="6" style="1" width="12"/>
    <col collapsed="false" customWidth="true" hidden="false" outlineLevel="0" max="8" min="7" style="1" width="11"/>
    <col collapsed="false" customWidth="true" hidden="false" outlineLevel="0" max="9" min="9" style="1" width="10"/>
    <col collapsed="false" customWidth="true" hidden="false" outlineLevel="0" max="11" min="10" style="1" width="12"/>
    <col collapsed="false" customWidth="true" hidden="false" outlineLevel="0" max="12" min="12" style="1" width="16"/>
    <col collapsed="false" customWidth="true" hidden="false" outlineLevel="0" max="13" min="13" style="1" width="50"/>
    <col collapsed="false" customWidth="true" hidden="false" outlineLevel="0" max="14" min="14" style="1" width="30"/>
  </cols>
  <sheetData>
    <row r="1" customFormat="false" ht="45.75" hidden="false" customHeight="true" outlineLevel="0" collapsed="false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</row>
    <row r="2" customFormat="false" ht="23.25" hidden="false" customHeight="true" outlineLevel="0" collapsed="false">
      <c r="A2" s="3" t="s">
        <v>102</v>
      </c>
      <c r="B2" s="8" t="s">
        <v>103</v>
      </c>
      <c r="C2" s="8" t="s">
        <v>103</v>
      </c>
      <c r="D2" s="9" t="s">
        <v>103</v>
      </c>
      <c r="E2" s="9" t="s">
        <v>103</v>
      </c>
      <c r="F2" s="9" t="s">
        <v>103</v>
      </c>
      <c r="G2" s="6" t="n">
        <v>90</v>
      </c>
      <c r="H2" s="8" t="n">
        <f aca="false">OSoP_Reported!E2</f>
        <v>90</v>
      </c>
      <c r="I2" s="3" t="s">
        <v>104</v>
      </c>
      <c r="J2" s="5" t="s">
        <v>105</v>
      </c>
      <c r="K2" s="3" t="s">
        <v>106</v>
      </c>
      <c r="L2" s="3" t="s">
        <v>104</v>
      </c>
      <c r="M2" s="3" t="s">
        <v>107</v>
      </c>
      <c r="N2" s="3" t="s">
        <v>108</v>
      </c>
    </row>
    <row r="3" customFormat="false" ht="34.5" hidden="false" customHeight="true" outlineLevel="0" collapsed="false">
      <c r="A3" s="3" t="s">
        <v>109</v>
      </c>
      <c r="B3" s="8" t="s">
        <v>103</v>
      </c>
      <c r="C3" s="8" t="s">
        <v>103</v>
      </c>
      <c r="D3" s="9" t="s">
        <v>103</v>
      </c>
      <c r="E3" s="9" t="s">
        <v>103</v>
      </c>
      <c r="F3" s="9" t="s">
        <v>103</v>
      </c>
      <c r="G3" s="6" t="n">
        <v>95</v>
      </c>
      <c r="H3" s="8" t="n">
        <f aca="false">OSoP_Reported!E4</f>
        <v>95</v>
      </c>
      <c r="I3" s="3" t="s">
        <v>104</v>
      </c>
      <c r="J3" s="5" t="s">
        <v>105</v>
      </c>
      <c r="K3" s="3" t="s">
        <v>106</v>
      </c>
      <c r="L3" s="3" t="s">
        <v>104</v>
      </c>
      <c r="M3" s="3" t="s">
        <v>107</v>
      </c>
      <c r="N3" s="3" t="s">
        <v>108</v>
      </c>
    </row>
    <row r="4" customFormat="false" ht="23.25" hidden="false" customHeight="true" outlineLevel="0" collapsed="false">
      <c r="A4" s="3" t="s">
        <v>110</v>
      </c>
      <c r="B4" s="8" t="s">
        <v>103</v>
      </c>
      <c r="C4" s="8" t="s">
        <v>103</v>
      </c>
      <c r="D4" s="9" t="s">
        <v>103</v>
      </c>
      <c r="E4" s="9" t="s">
        <v>103</v>
      </c>
      <c r="F4" s="9" t="s">
        <v>103</v>
      </c>
      <c r="G4" s="6" t="n">
        <v>95</v>
      </c>
      <c r="H4" s="8" t="n">
        <f aca="false">OSoP_Reported!E6</f>
        <v>95</v>
      </c>
      <c r="I4" s="3" t="s">
        <v>104</v>
      </c>
      <c r="J4" s="5" t="s">
        <v>105</v>
      </c>
      <c r="K4" s="3" t="s">
        <v>106</v>
      </c>
      <c r="L4" s="3" t="s">
        <v>104</v>
      </c>
      <c r="M4" s="3" t="s">
        <v>107</v>
      </c>
      <c r="N4" s="3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1"/>
    <col collapsed="false" customWidth="true" hidden="false" outlineLevel="0" max="4" min="3" style="1" width="12"/>
    <col collapsed="false" customWidth="true" hidden="false" outlineLevel="0" max="6" min="5" style="1" width="13"/>
    <col collapsed="false" customWidth="true" hidden="false" outlineLevel="0" max="7" min="7" style="1" width="12"/>
    <col collapsed="false" customWidth="true" hidden="false" outlineLevel="0" max="8" min="8" style="1" width="60"/>
  </cols>
  <sheetData>
    <row r="1" customFormat="false" ht="45.75" hidden="false" customHeight="true" outlineLevel="0" collapsed="false">
      <c r="A1" s="2" t="s">
        <v>88</v>
      </c>
      <c r="B1" s="2" t="s">
        <v>111</v>
      </c>
      <c r="C1" s="2" t="s">
        <v>94</v>
      </c>
      <c r="D1" s="2" t="s">
        <v>112</v>
      </c>
      <c r="E1" s="2" t="s">
        <v>97</v>
      </c>
      <c r="F1" s="2" t="s">
        <v>113</v>
      </c>
      <c r="G1" s="2" t="s">
        <v>114</v>
      </c>
      <c r="H1" s="2" t="s">
        <v>100</v>
      </c>
    </row>
    <row r="2" customFormat="false" ht="34.5" hidden="false" customHeight="true" outlineLevel="0" collapsed="false">
      <c r="A2" s="3" t="s">
        <v>115</v>
      </c>
      <c r="B2" s="8" t="s">
        <v>116</v>
      </c>
      <c r="C2" s="6" t="n">
        <v>90</v>
      </c>
      <c r="D2" s="3" t="s">
        <v>117</v>
      </c>
      <c r="E2" s="5" t="s">
        <v>105</v>
      </c>
      <c r="F2" s="3" t="str">
        <f aca="false">IF(E2&lt;&gt;"Yes","N/A",IF(D2="At least",IF(B2&gt;=C2,"Yes","No"),IF(B2&lt;=C2,"Yes","No")))</f>
        <v>N/A</v>
      </c>
      <c r="G2" s="9" t="str">
        <f aca="false">IF(ISNUMBER(B2),IF(D2="At least",B2-C2,C2-B2),"n/a")</f>
        <v>n/a</v>
      </c>
      <c r="H2" s="3" t="s">
        <v>118</v>
      </c>
    </row>
    <row r="3" customFormat="false" ht="23.25" hidden="false" customHeight="true" outlineLevel="0" collapsed="false">
      <c r="A3" s="3" t="s">
        <v>119</v>
      </c>
      <c r="B3" s="8" t="s">
        <v>116</v>
      </c>
      <c r="C3" s="6" t="n">
        <v>90</v>
      </c>
      <c r="D3" s="3" t="s">
        <v>117</v>
      </c>
      <c r="E3" s="5" t="s">
        <v>105</v>
      </c>
      <c r="F3" s="3" t="str">
        <f aca="false">IF(E3&lt;&gt;"Yes","N/A",IF(D3="At least",IF(B3&gt;=C3,"Yes","No"),IF(B3&lt;=C3,"Yes","No")))</f>
        <v>N/A</v>
      </c>
      <c r="G3" s="9" t="str">
        <f aca="false">IF(ISNUMBER(B3),IF(D3="At least",B3-C3,C3-B3),"n/a")</f>
        <v>n/a</v>
      </c>
      <c r="H3" s="3" t="s">
        <v>118</v>
      </c>
    </row>
    <row r="4" customFormat="false" ht="23.25" hidden="false" customHeight="true" outlineLevel="0" collapsed="false">
      <c r="A4" s="3" t="s">
        <v>120</v>
      </c>
      <c r="B4" s="8" t="s">
        <v>116</v>
      </c>
      <c r="C4" s="10" t="n">
        <v>0.1</v>
      </c>
      <c r="D4" s="3" t="s">
        <v>121</v>
      </c>
      <c r="E4" s="5" t="s">
        <v>105</v>
      </c>
      <c r="F4" s="3" t="str">
        <f aca="false">IF(E4&lt;&gt;"Yes","N/A",IF(D4="At least",IF(B4&gt;=C4,"Yes","No"),IF(B4&lt;=C4,"Yes","No")))</f>
        <v>N/A</v>
      </c>
      <c r="G4" s="11" t="str">
        <f aca="false">IF(ISNUMBER(B4),IF(D4="At least",B4-C4,C4-B4),"n/a")</f>
        <v>n/a</v>
      </c>
      <c r="H4" s="3" t="s">
        <v>118</v>
      </c>
    </row>
    <row r="5" customFormat="false" ht="23.25" hidden="false" customHeight="true" outlineLevel="0" collapsed="false">
      <c r="A5" s="3" t="s">
        <v>122</v>
      </c>
      <c r="B5" s="8" t="s">
        <v>116</v>
      </c>
      <c r="C5" s="10" t="n">
        <v>5</v>
      </c>
      <c r="D5" s="3" t="s">
        <v>121</v>
      </c>
      <c r="E5" s="5" t="s">
        <v>105</v>
      </c>
      <c r="F5" s="3" t="str">
        <f aca="false">IF(E5&lt;&gt;"Yes","N/A",IF(D5="At least",IF(B5&gt;=C5,"Yes","No"),IF(B5&lt;=C5,"Yes","No")))</f>
        <v>N/A</v>
      </c>
      <c r="G5" s="11" t="str">
        <f aca="false">IF(ISNUMBER(B5),IF(D5="At least",B5-C5,C5-B5),"n/a")</f>
        <v>n/a</v>
      </c>
      <c r="H5" s="3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44"/>
    <col collapsed="false" customWidth="true" hidden="false" outlineLevel="0" max="5" min="5" style="1" width="22"/>
    <col collapsed="false" customWidth="true" hidden="false" outlineLevel="0" max="6" min="6" style="1" width="50"/>
  </cols>
  <sheetData>
    <row r="1" customFormat="false" ht="23.25" hidden="false" customHeight="true" outlineLevel="0" collapsed="false">
      <c r="A1" s="2" t="s">
        <v>123</v>
      </c>
      <c r="B1" s="2" t="s">
        <v>124</v>
      </c>
      <c r="C1" s="2" t="s">
        <v>125</v>
      </c>
      <c r="D1" s="2" t="s">
        <v>126</v>
      </c>
      <c r="E1" s="2" t="s">
        <v>127</v>
      </c>
      <c r="F1" s="2" t="s">
        <v>128</v>
      </c>
    </row>
    <row r="2" customFormat="false" ht="15" hidden="false" customHeight="true" outlineLevel="0" collapsed="false">
      <c r="A2" s="3" t="s">
        <v>129</v>
      </c>
      <c r="B2" s="12" t="s">
        <v>116</v>
      </c>
      <c r="C2" s="3" t="s">
        <v>130</v>
      </c>
      <c r="D2" s="3" t="s">
        <v>131</v>
      </c>
      <c r="E2" s="3" t="s">
        <v>132</v>
      </c>
      <c r="F2" s="3" t="s">
        <v>133</v>
      </c>
    </row>
    <row r="3" customFormat="false" ht="23.25" hidden="false" customHeight="true" outlineLevel="0" collapsed="false">
      <c r="A3" s="3" t="s">
        <v>134</v>
      </c>
      <c r="B3" s="12" t="s">
        <v>116</v>
      </c>
      <c r="C3" s="3" t="s">
        <v>135</v>
      </c>
      <c r="D3" s="3" t="s">
        <v>136</v>
      </c>
      <c r="E3" s="3" t="s">
        <v>137</v>
      </c>
      <c r="F3" s="3" t="s">
        <v>133</v>
      </c>
    </row>
    <row r="4" customFormat="false" ht="23.25" hidden="false" customHeight="true" outlineLevel="0" collapsed="false">
      <c r="A4" s="3" t="s">
        <v>138</v>
      </c>
      <c r="B4" s="12" t="s">
        <v>116</v>
      </c>
      <c r="C4" s="3" t="s">
        <v>139</v>
      </c>
      <c r="D4" s="3" t="s">
        <v>140</v>
      </c>
      <c r="E4" s="3" t="s">
        <v>141</v>
      </c>
      <c r="F4" s="3" t="s">
        <v>133</v>
      </c>
    </row>
    <row r="5" customFormat="false" ht="15" hidden="false" customHeight="true" outlineLevel="0" collapsed="false">
      <c r="A5" s="3" t="s">
        <v>142</v>
      </c>
      <c r="B5" s="13" t="s">
        <v>104</v>
      </c>
      <c r="C5" s="3" t="s">
        <v>143</v>
      </c>
      <c r="D5" s="3" t="s">
        <v>144</v>
      </c>
      <c r="E5" s="3" t="s">
        <v>145</v>
      </c>
      <c r="F5" s="3" t="s">
        <v>146</v>
      </c>
    </row>
    <row r="6" customFormat="false" ht="23.25" hidden="false" customHeight="true" outlineLevel="0" collapsed="false">
      <c r="A6" s="3" t="s">
        <v>147</v>
      </c>
      <c r="B6" s="13" t="s">
        <v>104</v>
      </c>
      <c r="C6" s="3" t="s">
        <v>148</v>
      </c>
      <c r="D6" s="3" t="s">
        <v>149</v>
      </c>
      <c r="E6" s="3" t="s">
        <v>145</v>
      </c>
      <c r="F6" s="3" t="s">
        <v>150</v>
      </c>
    </row>
    <row r="7" customFormat="false" ht="15" hidden="false" customHeight="true" outlineLevel="0" collapsed="false">
      <c r="A7" s="3" t="s">
        <v>151</v>
      </c>
      <c r="B7" s="13" t="s">
        <v>104</v>
      </c>
      <c r="C7" s="3" t="s">
        <v>152</v>
      </c>
      <c r="D7" s="3" t="s">
        <v>149</v>
      </c>
      <c r="E7" s="3" t="s">
        <v>145</v>
      </c>
      <c r="F7" s="3" t="s">
        <v>153</v>
      </c>
    </row>
    <row r="8" customFormat="false" ht="23.85" hidden="false" customHeight="false" outlineLevel="0" collapsed="false">
      <c r="A8" s="4" t="s">
        <v>154</v>
      </c>
      <c r="B8" s="14" t="n">
        <v>331</v>
      </c>
      <c r="C8" s="4" t="s">
        <v>155</v>
      </c>
      <c r="D8" s="15" t="s">
        <v>156</v>
      </c>
      <c r="E8" s="4" t="s">
        <v>145</v>
      </c>
      <c r="F8" s="4" t="str">
        <f aca="false">"Record note value only; no Overall Standards value is available for FY 2025-26 to compare ("&amp;TEXT(B8,"0")&amp;")"</f>
        <v>Record note value only; no Overall Standards value is available for FY 2025-26 to compare (331)</v>
      </c>
    </row>
    <row r="9" customFormat="false" ht="23.85" hidden="false" customHeight="false" outlineLevel="0" collapsed="false">
      <c r="A9" s="4" t="s">
        <v>157</v>
      </c>
      <c r="B9" s="14" t="n">
        <v>272</v>
      </c>
      <c r="C9" s="4" t="s">
        <v>158</v>
      </c>
      <c r="D9" s="15" t="s">
        <v>156</v>
      </c>
      <c r="E9" s="4" t="s">
        <v>145</v>
      </c>
      <c r="F9" s="4" t="str">
        <f aca="false">"Record note value only; equals "&amp;TEXT(B9*60,"#,##0")&amp;" minutes; Commission states the data cannot be relied upon"</f>
        <v>Record note value only; equals 16,320 minutes; Commission states the data cannot be relied upon</v>
      </c>
    </row>
  </sheetData>
  <hyperlinks>
    <hyperlink ref="D8" r:id="rId2" display="OERC record note of the TPWODL performance review (S4)"/>
    <hyperlink ref="D9" r:id="rId3" display="OERC record note of the TPWODL performance review (S4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70"/>
  </cols>
  <sheetData>
    <row r="1" customFormat="false" ht="15" hidden="false" customHeight="true" outlineLevel="0" collapsed="false">
      <c r="A1" s="2" t="s">
        <v>159</v>
      </c>
      <c r="B1" s="2" t="s">
        <v>160</v>
      </c>
      <c r="C1" s="2" t="s">
        <v>161</v>
      </c>
      <c r="D1" s="2" t="s">
        <v>128</v>
      </c>
    </row>
    <row r="2" customFormat="false" ht="15" hidden="false" customHeight="true" outlineLevel="0" collapsed="false">
      <c r="A2" s="3" t="s">
        <v>60</v>
      </c>
      <c r="B2" s="3" t="s">
        <v>39</v>
      </c>
      <c r="C2" s="3"/>
      <c r="D2" s="3" t="s">
        <v>162</v>
      </c>
    </row>
    <row r="3" customFormat="false" ht="15" hidden="false" customHeight="true" outlineLevel="0" collapsed="false">
      <c r="A3" s="3" t="s">
        <v>65</v>
      </c>
      <c r="B3" s="3" t="s">
        <v>39</v>
      </c>
      <c r="C3" s="8"/>
      <c r="D3" s="3" t="s">
        <v>162</v>
      </c>
    </row>
    <row r="4" customFormat="false" ht="15" hidden="false" customHeight="true" outlineLevel="0" collapsed="false">
      <c r="A4" s="3" t="s">
        <v>68</v>
      </c>
      <c r="B4" s="3" t="s">
        <v>39</v>
      </c>
      <c r="C4" s="16"/>
      <c r="D4" s="3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60"/>
    <col collapsed="false" customWidth="true" hidden="false" outlineLevel="0" max="8" min="8" style="0" width="22"/>
    <col collapsed="false" customWidth="true" hidden="false" outlineLevel="0" max="9" min="9" style="0" width="46"/>
  </cols>
  <sheetData>
    <row r="1" customFormat="false" ht="34.5" hidden="false" customHeight="true" outlineLevel="0" collapsed="false">
      <c r="A1" s="2" t="s">
        <v>163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34</v>
      </c>
      <c r="H1" s="2" t="s">
        <v>169</v>
      </c>
      <c r="I1" s="2" t="s">
        <v>170</v>
      </c>
    </row>
    <row r="2" customFormat="false" ht="23.25" hidden="false" customHeight="true" outlineLevel="0" collapsed="false">
      <c r="A2" s="3" t="s">
        <v>171</v>
      </c>
      <c r="B2" s="3" t="s">
        <v>172</v>
      </c>
      <c r="C2" s="3" t="n">
        <v>8</v>
      </c>
      <c r="D2" s="3" t="s">
        <v>39</v>
      </c>
      <c r="E2" s="3"/>
      <c r="F2" s="3" t="s">
        <v>104</v>
      </c>
      <c r="G2" s="3" t="s">
        <v>173</v>
      </c>
      <c r="H2" s="14" t="n">
        <v>24</v>
      </c>
      <c r="I2" s="4" t="s">
        <v>174</v>
      </c>
    </row>
    <row r="3" customFormat="false" ht="23.25" hidden="false" customHeight="true" outlineLevel="0" collapsed="false">
      <c r="A3" s="3" t="s">
        <v>175</v>
      </c>
      <c r="B3" s="3" t="s">
        <v>176</v>
      </c>
      <c r="C3" s="3" t="n">
        <v>12</v>
      </c>
      <c r="D3" s="3" t="s">
        <v>39</v>
      </c>
      <c r="E3" s="3"/>
      <c r="F3" s="3" t="s">
        <v>104</v>
      </c>
      <c r="G3" s="3" t="s">
        <v>173</v>
      </c>
      <c r="H3" s="4" t="n">
        <f aca="false">H8-H2</f>
        <v>7</v>
      </c>
      <c r="I3" s="4" t="s">
        <v>177</v>
      </c>
    </row>
    <row r="4" customFormat="false" ht="23.25" hidden="false" customHeight="true" outlineLevel="0" collapsed="false">
      <c r="A4" s="3" t="s">
        <v>178</v>
      </c>
      <c r="B4" s="3" t="s">
        <v>179</v>
      </c>
      <c r="C4" s="3" t="n">
        <v>28</v>
      </c>
      <c r="D4" s="3" t="s">
        <v>39</v>
      </c>
      <c r="E4" s="3"/>
      <c r="F4" s="3" t="s">
        <v>104</v>
      </c>
      <c r="G4" s="3" t="s">
        <v>173</v>
      </c>
      <c r="H4" s="4" t="s">
        <v>180</v>
      </c>
      <c r="I4" s="4" t="s">
        <v>181</v>
      </c>
    </row>
    <row r="5" customFormat="false" ht="23.25" hidden="false" customHeight="true" outlineLevel="0" collapsed="false">
      <c r="A5" s="3" t="s">
        <v>182</v>
      </c>
      <c r="B5" s="3" t="s">
        <v>183</v>
      </c>
      <c r="C5" s="3" t="n">
        <v>0</v>
      </c>
      <c r="D5" s="3" t="s">
        <v>39</v>
      </c>
      <c r="E5" s="3"/>
      <c r="F5" s="3" t="s">
        <v>104</v>
      </c>
      <c r="G5" s="3" t="s">
        <v>173</v>
      </c>
      <c r="H5" s="4" t="s">
        <v>180</v>
      </c>
      <c r="I5" s="4" t="s">
        <v>181</v>
      </c>
    </row>
    <row r="6" customFormat="false" ht="15" hidden="false" customHeight="true" outlineLevel="0" collapsed="false">
      <c r="A6" s="3" t="s">
        <v>184</v>
      </c>
      <c r="B6" s="3"/>
      <c r="C6" s="3" t="n">
        <f aca="false">SUM(C2:C5)</f>
        <v>48</v>
      </c>
      <c r="D6" s="3"/>
      <c r="E6" s="3" t="s">
        <v>104</v>
      </c>
      <c r="F6" s="3" t="s">
        <v>104</v>
      </c>
      <c r="G6" s="3" t="s">
        <v>185</v>
      </c>
    </row>
    <row r="8" customFormat="false" ht="23.85" hidden="false" customHeight="false" outlineLevel="0" collapsed="false">
      <c r="A8" s="4" t="s">
        <v>186</v>
      </c>
      <c r="H8" s="14" t="n">
        <v>31</v>
      </c>
    </row>
    <row r="9" customFormat="false" ht="23.85" hidden="false" customHeight="false" outlineLevel="0" collapsed="false">
      <c r="A9" s="4" t="s">
        <v>187</v>
      </c>
      <c r="H9" s="14" t="n">
        <v>14</v>
      </c>
    </row>
    <row r="10" customFormat="false" ht="15" hidden="false" customHeight="false" outlineLevel="0" collapsed="false">
      <c r="A10" s="15" t="s">
        <v>188</v>
      </c>
    </row>
  </sheetData>
  <hyperlinks>
    <hyperlink ref="A10" r:id="rId2" display="Source: record note (S4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60"/>
  </cols>
  <sheetData>
    <row r="1" customFormat="false" ht="23.25" hidden="false" customHeight="true" outlineLevel="0" collapsed="false">
      <c r="A1" s="2" t="s">
        <v>189</v>
      </c>
      <c r="B1" s="2" t="s">
        <v>190</v>
      </c>
      <c r="C1" s="2" t="s">
        <v>191</v>
      </c>
      <c r="D1" s="2" t="s">
        <v>192</v>
      </c>
    </row>
    <row r="2" customFormat="false" ht="15" hidden="false" customHeight="true" outlineLevel="0" collapsed="false">
      <c r="A2" s="3" t="s">
        <v>193</v>
      </c>
      <c r="B2" s="3" t="s">
        <v>104</v>
      </c>
      <c r="C2" s="3" t="s">
        <v>104</v>
      </c>
      <c r="D2" s="3" t="s">
        <v>194</v>
      </c>
    </row>
    <row r="3" customFormat="false" ht="15" hidden="false" customHeight="true" outlineLevel="0" collapsed="false">
      <c r="A3" s="3" t="s">
        <v>195</v>
      </c>
      <c r="B3" s="3" t="s">
        <v>104</v>
      </c>
      <c r="C3" s="3" t="s">
        <v>104</v>
      </c>
      <c r="D3" s="3" t="s">
        <v>194</v>
      </c>
    </row>
    <row r="4" customFormat="false" ht="15" hidden="false" customHeight="true" outlineLevel="0" collapsed="false">
      <c r="A4" s="3" t="s">
        <v>196</v>
      </c>
      <c r="B4" s="3" t="s">
        <v>104</v>
      </c>
      <c r="C4" s="3" t="s">
        <v>104</v>
      </c>
      <c r="D4" s="3" t="s">
        <v>194</v>
      </c>
    </row>
    <row r="5" customFormat="false" ht="15" hidden="false" customHeight="true" outlineLevel="0" collapsed="false">
      <c r="A5" s="3" t="s">
        <v>197</v>
      </c>
      <c r="B5" s="3" t="s">
        <v>104</v>
      </c>
      <c r="C5" s="3" t="s">
        <v>104</v>
      </c>
      <c r="D5" s="3" t="s">
        <v>194</v>
      </c>
    </row>
    <row r="6" customFormat="false" ht="15" hidden="false" customHeight="true" outlineLevel="0" collapsed="false">
      <c r="A6" s="3" t="s">
        <v>198</v>
      </c>
      <c r="B6" s="3" t="s">
        <v>104</v>
      </c>
      <c r="C6" s="3" t="s">
        <v>104</v>
      </c>
      <c r="D6" s="3" t="s">
        <v>194</v>
      </c>
    </row>
    <row r="7" customFormat="false" ht="15" hidden="false" customHeight="true" outlineLevel="0" collapsed="false">
      <c r="A7" s="3" t="s">
        <v>199</v>
      </c>
      <c r="B7" s="3" t="s">
        <v>104</v>
      </c>
      <c r="C7" s="3" t="s">
        <v>104</v>
      </c>
      <c r="D7" s="3" t="s">
        <v>194</v>
      </c>
    </row>
    <row r="8" customFormat="false" ht="15" hidden="false" customHeight="true" outlineLevel="0" collapsed="false">
      <c r="A8" s="3" t="s">
        <v>200</v>
      </c>
      <c r="B8" s="3" t="s">
        <v>104</v>
      </c>
      <c r="C8" s="3" t="s">
        <v>104</v>
      </c>
      <c r="D8" s="3" t="s">
        <v>194</v>
      </c>
    </row>
    <row r="9" customFormat="false" ht="15" hidden="false" customHeight="true" outlineLevel="0" collapsed="false">
      <c r="A9" s="3" t="s">
        <v>201</v>
      </c>
      <c r="B9" s="3" t="s">
        <v>104</v>
      </c>
      <c r="C9" s="3" t="s">
        <v>104</v>
      </c>
      <c r="D9" s="3" t="s">
        <v>194</v>
      </c>
    </row>
    <row r="10" customFormat="false" ht="15" hidden="false" customHeight="true" outlineLevel="0" collapsed="false">
      <c r="A10" s="3" t="s">
        <v>202</v>
      </c>
      <c r="B10" s="3" t="s">
        <v>104</v>
      </c>
      <c r="C10" s="3" t="s">
        <v>104</v>
      </c>
      <c r="D10" s="3" t="s">
        <v>194</v>
      </c>
    </row>
    <row r="11" customFormat="false" ht="15" hidden="false" customHeight="true" outlineLevel="0" collapsed="false">
      <c r="A11" s="3" t="s">
        <v>203</v>
      </c>
      <c r="B11" s="3" t="s">
        <v>104</v>
      </c>
      <c r="C11" s="3" t="s">
        <v>104</v>
      </c>
      <c r="D11" s="3" t="s">
        <v>194</v>
      </c>
    </row>
    <row r="12" customFormat="false" ht="15" hidden="false" customHeight="true" outlineLevel="0" collapsed="false">
      <c r="A12" s="3" t="s">
        <v>204</v>
      </c>
      <c r="B12" s="3" t="s">
        <v>104</v>
      </c>
      <c r="C12" s="3" t="s">
        <v>104</v>
      </c>
      <c r="D12" s="3" t="s">
        <v>194</v>
      </c>
    </row>
    <row r="13" customFormat="false" ht="15" hidden="false" customHeight="true" outlineLevel="0" collapsed="false">
      <c r="A13" s="3" t="s">
        <v>205</v>
      </c>
      <c r="B13" s="3" t="s">
        <v>104</v>
      </c>
      <c r="C13" s="3" t="s">
        <v>104</v>
      </c>
      <c r="D13" s="3" t="s">
        <v>194</v>
      </c>
    </row>
    <row r="14" customFormat="false" ht="15" hidden="false" customHeight="true" outlineLevel="0" collapsed="false">
      <c r="A14" s="3" t="s">
        <v>206</v>
      </c>
      <c r="B14" s="3" t="s">
        <v>104</v>
      </c>
      <c r="C14" s="3" t="s">
        <v>104</v>
      </c>
      <c r="D14" s="3" t="s">
        <v>194</v>
      </c>
    </row>
    <row r="15" customFormat="false" ht="15" hidden="false" customHeight="true" outlineLevel="0" collapsed="false">
      <c r="A15" s="3" t="s">
        <v>207</v>
      </c>
      <c r="B15" s="3" t="s">
        <v>104</v>
      </c>
      <c r="C15" s="3" t="s">
        <v>104</v>
      </c>
      <c r="D15" s="3" t="s">
        <v>194</v>
      </c>
    </row>
    <row r="16" customFormat="false" ht="15" hidden="false" customHeight="true" outlineLevel="0" collapsed="false">
      <c r="A16" s="3" t="s">
        <v>208</v>
      </c>
      <c r="B16" s="3" t="s">
        <v>104</v>
      </c>
      <c r="C16" s="3" t="s">
        <v>104</v>
      </c>
      <c r="D16" s="3" t="s">
        <v>194</v>
      </c>
    </row>
    <row r="17" customFormat="false" ht="15" hidden="false" customHeight="true" outlineLevel="0" collapsed="false">
      <c r="A17" s="3" t="s">
        <v>209</v>
      </c>
      <c r="B17" s="3" t="s">
        <v>104</v>
      </c>
      <c r="C17" s="3" t="s">
        <v>104</v>
      </c>
      <c r="D17" s="3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18"/>
    <col collapsed="false" customWidth="true" hidden="false" outlineLevel="0" max="5" min="4" style="1" width="12"/>
    <col collapsed="false" customWidth="true" hidden="false" outlineLevel="0" max="7" min="6" style="1" width="40"/>
  </cols>
  <sheetData>
    <row r="1" customFormat="false" ht="34.5" hidden="false" customHeight="true" outlineLevel="0" collapsed="false">
      <c r="A1" s="2" t="s">
        <v>0</v>
      </c>
      <c r="B1" s="2" t="s">
        <v>210</v>
      </c>
      <c r="C1" s="2" t="s">
        <v>211</v>
      </c>
      <c r="D1" s="2" t="s">
        <v>212</v>
      </c>
      <c r="E1" s="2" t="s">
        <v>213</v>
      </c>
      <c r="F1" s="2" t="s">
        <v>214</v>
      </c>
      <c r="G1" s="2" t="s">
        <v>215</v>
      </c>
    </row>
    <row r="2" customFormat="false" ht="15" hidden="false" customHeight="true" outlineLevel="0" collapsed="false">
      <c r="A2" s="3" t="s">
        <v>216</v>
      </c>
      <c r="B2" s="3" t="n">
        <v>8</v>
      </c>
      <c r="C2" s="3" t="s">
        <v>39</v>
      </c>
      <c r="D2" s="3" t="s">
        <v>104</v>
      </c>
      <c r="E2" s="3" t="s">
        <v>217</v>
      </c>
      <c r="F2" s="3" t="s">
        <v>218</v>
      </c>
      <c r="G2" s="3" t="s">
        <v>219</v>
      </c>
    </row>
    <row r="3" customFormat="false" ht="15" hidden="false" customHeight="true" outlineLevel="0" collapsed="false">
      <c r="A3" s="3" t="s">
        <v>220</v>
      </c>
      <c r="B3" s="3" t="n">
        <v>12</v>
      </c>
      <c r="C3" s="3" t="s">
        <v>39</v>
      </c>
      <c r="D3" s="3" t="s">
        <v>104</v>
      </c>
      <c r="E3" s="3" t="s">
        <v>217</v>
      </c>
      <c r="F3" s="3" t="s">
        <v>218</v>
      </c>
      <c r="G3" s="3" t="s">
        <v>219</v>
      </c>
    </row>
    <row r="4" customFormat="false" ht="15" hidden="false" customHeight="true" outlineLevel="0" collapsed="false">
      <c r="A4" s="3" t="s">
        <v>221</v>
      </c>
      <c r="B4" s="3" t="n">
        <v>28</v>
      </c>
      <c r="C4" s="3" t="s">
        <v>39</v>
      </c>
      <c r="D4" s="3" t="s">
        <v>104</v>
      </c>
      <c r="E4" s="3" t="s">
        <v>217</v>
      </c>
      <c r="F4" s="3" t="s">
        <v>218</v>
      </c>
      <c r="G4" s="3" t="s">
        <v>219</v>
      </c>
    </row>
    <row r="5" customFormat="false" ht="15" hidden="false" customHeight="true" outlineLevel="0" collapsed="false">
      <c r="A5" s="3" t="s">
        <v>222</v>
      </c>
      <c r="B5" s="3" t="n">
        <v>0</v>
      </c>
      <c r="C5" s="3" t="s">
        <v>39</v>
      </c>
      <c r="D5" s="3" t="s">
        <v>104</v>
      </c>
      <c r="E5" s="3" t="s">
        <v>217</v>
      </c>
      <c r="F5" s="3" t="s">
        <v>218</v>
      </c>
      <c r="G5" s="3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100"/>
  </cols>
  <sheetData>
    <row r="1" customFormat="false" ht="15" hidden="false" customHeight="true" outlineLevel="0" collapsed="false">
      <c r="A1" s="2" t="s">
        <v>223</v>
      </c>
      <c r="B1" s="2" t="s">
        <v>224</v>
      </c>
      <c r="C1" s="2" t="s">
        <v>225</v>
      </c>
    </row>
    <row r="2" customFormat="false" ht="15" hidden="false" customHeight="true" outlineLevel="0" collapsed="false">
      <c r="A2" s="3" t="s">
        <v>226</v>
      </c>
      <c r="B2" s="3" t="s">
        <v>227</v>
      </c>
      <c r="C2" s="3" t="s">
        <v>228</v>
      </c>
    </row>
    <row r="3" customFormat="false" ht="23.25" hidden="false" customHeight="true" outlineLevel="0" collapsed="false">
      <c r="A3" s="3" t="s">
        <v>229</v>
      </c>
      <c r="B3" s="3" t="s">
        <v>230</v>
      </c>
      <c r="C3" s="3" t="s">
        <v>231</v>
      </c>
    </row>
    <row r="4" customFormat="false" ht="15" hidden="false" customHeight="true" outlineLevel="0" collapsed="false">
      <c r="A4" s="3" t="s">
        <v>232</v>
      </c>
      <c r="B4" s="3" t="s">
        <v>227</v>
      </c>
      <c r="C4" s="3" t="s">
        <v>233</v>
      </c>
    </row>
    <row r="5" customFormat="false" ht="15" hidden="false" customHeight="true" outlineLevel="0" collapsed="false">
      <c r="A5" s="3" t="s">
        <v>8</v>
      </c>
      <c r="B5" s="3" t="s">
        <v>227</v>
      </c>
      <c r="C5" s="3" t="s">
        <v>234</v>
      </c>
    </row>
    <row r="6" customFormat="false" ht="15" hidden="false" customHeight="true" outlineLevel="0" collapsed="false">
      <c r="A6" s="3" t="s">
        <v>235</v>
      </c>
      <c r="B6" s="3" t="s">
        <v>227</v>
      </c>
      <c r="C6" s="3" t="s">
        <v>236</v>
      </c>
    </row>
    <row r="7" customFormat="false" ht="23.85" hidden="false" customHeight="false" outlineLevel="0" collapsed="false">
      <c r="A7" s="4" t="s">
        <v>237</v>
      </c>
      <c r="B7" s="4" t="s">
        <v>227</v>
      </c>
      <c r="C7" s="4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100"/>
  </cols>
  <sheetData>
    <row r="1" customFormat="false" ht="15" hidden="false" customHeight="true" outlineLevel="0" collapsed="false">
      <c r="A1" s="2" t="s">
        <v>223</v>
      </c>
      <c r="B1" s="2" t="s">
        <v>224</v>
      </c>
      <c r="C1" s="2" t="s">
        <v>239</v>
      </c>
    </row>
    <row r="2" customFormat="false" ht="23.25" hidden="false" customHeight="true" outlineLevel="0" collapsed="false">
      <c r="A2" s="3" t="s">
        <v>240</v>
      </c>
      <c r="B2" s="3" t="s">
        <v>241</v>
      </c>
      <c r="C2" s="3" t="s">
        <v>242</v>
      </c>
    </row>
    <row r="3" customFormat="false" ht="15" hidden="false" customHeight="true" outlineLevel="0" collapsed="false">
      <c r="A3" s="3" t="s">
        <v>243</v>
      </c>
      <c r="B3" s="3" t="s">
        <v>227</v>
      </c>
      <c r="C3" s="3" t="s">
        <v>244</v>
      </c>
    </row>
    <row r="4" customFormat="false" ht="23.25" hidden="false" customHeight="true" outlineLevel="0" collapsed="false">
      <c r="A4" s="3" t="s">
        <v>245</v>
      </c>
      <c r="B4" s="3" t="s">
        <v>246</v>
      </c>
      <c r="C4" s="3" t="s">
        <v>247</v>
      </c>
    </row>
    <row r="5" customFormat="false" ht="15" hidden="false" customHeight="true" outlineLevel="0" collapsed="false">
      <c r="A5" s="3" t="s">
        <v>248</v>
      </c>
      <c r="B5" s="3" t="s">
        <v>249</v>
      </c>
      <c r="C5" s="3" t="s">
        <v>250</v>
      </c>
    </row>
    <row r="6" customFormat="false" ht="15" hidden="false" customHeight="true" outlineLevel="0" collapsed="false">
      <c r="A6" s="3" t="s">
        <v>251</v>
      </c>
      <c r="B6" s="3" t="s">
        <v>227</v>
      </c>
      <c r="C6" s="3" t="s">
        <v>252</v>
      </c>
    </row>
    <row r="7" customFormat="false" ht="15" hidden="false" customHeight="true" outlineLevel="0" collapsed="false">
      <c r="A7" s="3" t="s">
        <v>253</v>
      </c>
      <c r="B7" s="3" t="s">
        <v>227</v>
      </c>
      <c r="C7" s="3" t="s">
        <v>254</v>
      </c>
    </row>
    <row r="8" customFormat="false" ht="15" hidden="false" customHeight="true" outlineLevel="0" collapsed="false">
      <c r="A8" s="3" t="s">
        <v>255</v>
      </c>
      <c r="B8" s="3" t="s">
        <v>227</v>
      </c>
      <c r="C8" s="3" t="s">
        <v>256</v>
      </c>
    </row>
    <row r="9" customFormat="false" ht="15" hidden="false" customHeight="true" outlineLevel="0" collapsed="false">
      <c r="A9" s="3" t="s">
        <v>257</v>
      </c>
      <c r="B9" s="3" t="s">
        <v>227</v>
      </c>
      <c r="C9" s="3" t="s">
        <v>258</v>
      </c>
    </row>
    <row r="10" customFormat="false" ht="15" hidden="false" customHeight="true" outlineLevel="0" collapsed="false">
      <c r="A10" s="3" t="s">
        <v>259</v>
      </c>
      <c r="B10" s="3" t="s">
        <v>227</v>
      </c>
      <c r="C10" s="3" t="s">
        <v>260</v>
      </c>
    </row>
    <row r="11" customFormat="false" ht="15" hidden="false" customHeight="true" outlineLevel="0" collapsed="false">
      <c r="A11" s="3" t="s">
        <v>261</v>
      </c>
      <c r="B11" s="3" t="s">
        <v>227</v>
      </c>
      <c r="C11" s="3" t="s">
        <v>262</v>
      </c>
    </row>
    <row r="12" customFormat="false" ht="15" hidden="false" customHeight="true" outlineLevel="0" collapsed="false">
      <c r="A12" s="3" t="s">
        <v>263</v>
      </c>
      <c r="B12" s="3" t="s">
        <v>227</v>
      </c>
      <c r="C12" s="3" t="s">
        <v>264</v>
      </c>
    </row>
    <row r="13" customFormat="false" ht="23.25" hidden="false" customHeight="true" outlineLevel="0" collapsed="false">
      <c r="A13" s="3" t="s">
        <v>265</v>
      </c>
      <c r="B13" s="3" t="s">
        <v>266</v>
      </c>
      <c r="C13" s="4" t="s">
        <v>267</v>
      </c>
    </row>
    <row r="14" customFormat="false" ht="23.85" hidden="false" customHeight="false" outlineLevel="0" collapsed="false">
      <c r="A14" s="4" t="s">
        <v>268</v>
      </c>
      <c r="B14" s="4" t="s">
        <v>269</v>
      </c>
      <c r="C14" s="4" t="s">
        <v>270</v>
      </c>
    </row>
    <row r="15" customFormat="false" ht="15" hidden="false" customHeight="false" outlineLevel="0" collapsed="false">
      <c r="A15" s="4" t="s">
        <v>271</v>
      </c>
      <c r="B15" s="4" t="s">
        <v>227</v>
      </c>
      <c r="C15" s="4" t="s">
        <v>272</v>
      </c>
    </row>
    <row r="16" customFormat="false" ht="23.85" hidden="false" customHeight="false" outlineLevel="0" collapsed="false">
      <c r="A16" s="4" t="s">
        <v>273</v>
      </c>
      <c r="B16" s="4" t="s">
        <v>269</v>
      </c>
      <c r="C16" s="4" t="s">
        <v>274</v>
      </c>
    </row>
    <row r="17" customFormat="false" ht="15" hidden="false" customHeight="false" outlineLevel="0" collapsed="false">
      <c r="A17" s="4" t="s">
        <v>275</v>
      </c>
      <c r="B17" s="4" t="s">
        <v>276</v>
      </c>
      <c r="C17" s="4" t="s">
        <v>277</v>
      </c>
    </row>
    <row r="18" customFormat="false" ht="15" hidden="false" customHeight="false" outlineLevel="0" collapsed="false">
      <c r="A18" s="4" t="s">
        <v>278</v>
      </c>
      <c r="B18" s="4" t="s">
        <v>227</v>
      </c>
      <c r="C18" s="4" t="s">
        <v>279</v>
      </c>
    </row>
    <row r="19" customFormat="false" ht="23.85" hidden="false" customHeight="false" outlineLevel="0" collapsed="false">
      <c r="A19" s="4" t="s">
        <v>280</v>
      </c>
      <c r="B19" s="4" t="s">
        <v>281</v>
      </c>
      <c r="C19" s="4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2026-10-14T07:58:55Z</dcterms:created>
  <dc:creator>openpyxl</dc:creator>
  <dc:description/>
  <dc:language>en-US</dc:language>
  <cp:lastModifiedBy/>
  <dcterms:modified xsi:type="dcterms:W3CDTF">2026-10-19T06:16:56Z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